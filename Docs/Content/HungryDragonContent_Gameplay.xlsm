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hsemroud\Documents\ContentSplit\"/>
    </mc:Choice>
  </mc:AlternateContent>
  <bookViews>
    <workbookView xWindow="0" yWindow="0" windowWidth="28800" windowHeight="10800" activeTab="2"/>
  </bookViews>
  <sheets>
    <sheet name="entities" sheetId="2" r:id="rId1"/>
    <sheet name="levels" sheetId="3" r:id="rId2"/>
    <sheet name="score" sheetId="4" r:id="rId3"/>
  </sheets>
  <definedNames>
    <definedName name="_xlnm._FilterDatabase" localSheetId="0" hidden="1">entities!$A$116:$O$117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6" i="2" l="1"/>
  <c r="P30" i="2"/>
  <c r="P33" i="2"/>
  <c r="P34" i="2"/>
  <c r="P35" i="2"/>
  <c r="P36" i="2"/>
  <c r="P37" i="2"/>
  <c r="P41" i="2"/>
  <c r="P42" i="2"/>
  <c r="P50" i="2"/>
  <c r="P51" i="2"/>
  <c r="P52" i="2"/>
  <c r="P53" i="2"/>
  <c r="P55" i="2"/>
  <c r="P56" i="2"/>
  <c r="P57" i="2"/>
  <c r="P59" i="2"/>
  <c r="P60" i="2"/>
  <c r="P61" i="2"/>
  <c r="P64" i="2"/>
  <c r="P65" i="2"/>
  <c r="P71" i="2"/>
  <c r="P73" i="2"/>
  <c r="P77" i="2"/>
  <c r="P83" i="2"/>
  <c r="P86" i="2"/>
  <c r="P87" i="2"/>
  <c r="P92" i="2"/>
  <c r="P93" i="2"/>
  <c r="P96" i="2"/>
  <c r="P97" i="2"/>
  <c r="P98" i="2"/>
  <c r="P99" i="2"/>
  <c r="P100" i="2"/>
  <c r="P101" i="2"/>
  <c r="P105" i="2"/>
  <c r="P106" i="2"/>
  <c r="G140" i="2"/>
  <c r="I140" i="2"/>
  <c r="G141" i="2"/>
  <c r="I141" i="2"/>
  <c r="G142" i="2"/>
  <c r="I142" i="2"/>
  <c r="G143" i="2"/>
  <c r="I143" i="2"/>
  <c r="G144" i="2"/>
  <c r="I144" i="2"/>
</calcChain>
</file>

<file path=xl/sharedStrings.xml><?xml version="1.0" encoding="utf-8"?>
<sst xmlns="http://schemas.openxmlformats.org/spreadsheetml/2006/main" count="985" uniqueCount="509">
  <si>
    <t>tier_4</t>
  </si>
  <si>
    <t>hold_prey_tier_4</t>
  </si>
  <si>
    <t>&lt;Definition&gt;</t>
  </si>
  <si>
    <t>tier_3</t>
  </si>
  <si>
    <t>hold_prey_tier_3</t>
  </si>
  <si>
    <t>tier_2</t>
  </si>
  <si>
    <t>hold_prey_tier_2</t>
  </si>
  <si>
    <t>tier_1</t>
  </si>
  <si>
    <t>hold_prey_tier_1</t>
  </si>
  <si>
    <t>tier_0</t>
  </si>
  <si>
    <t>hold_prey_tier_0</t>
  </si>
  <si>
    <t>[stunTime]</t>
  </si>
  <si>
    <t>[boostMultiplier]</t>
  </si>
  <si>
    <t>[duration]</t>
  </si>
  <si>
    <t>[healthDrain]</t>
  </si>
  <si>
    <t>[damage]</t>
  </si>
  <si>
    <t>[tier]</t>
  </si>
  <si>
    <t>[sku]</t>
  </si>
  <si>
    <t>{holdPreyTierSettingsDefinitions}</t>
  </si>
  <si>
    <t>HOLS PREY TIER RELATION</t>
  </si>
  <si>
    <t>TID_QUIP_DRG_KILL_ENT_12</t>
  </si>
  <si>
    <t>TID_QUIP_DRG_BURN_ENT_01</t>
  </si>
  <si>
    <t>Boat</t>
  </si>
  <si>
    <t>medium</t>
  </si>
  <si>
    <t>machine</t>
  </si>
  <si>
    <t>always_disintegrate</t>
  </si>
  <si>
    <t>big</t>
  </si>
  <si>
    <t>building</t>
  </si>
  <si>
    <t>building_big</t>
  </si>
  <si>
    <t>building_medium</t>
  </si>
  <si>
    <t>small</t>
  </si>
  <si>
    <t>building_small</t>
  </si>
  <si>
    <t>machine_big</t>
  </si>
  <si>
    <t>machine_medium</t>
  </si>
  <si>
    <t>machine_small</t>
  </si>
  <si>
    <t>vegetation</t>
  </si>
  <si>
    <t>vegetation_medium</t>
  </si>
  <si>
    <t>vegetation_small</t>
  </si>
  <si>
    <t>decoration</t>
  </si>
  <si>
    <t>deco_medium</t>
  </si>
  <si>
    <t>deco_small</t>
  </si>
  <si>
    <t>[tidDestroyFeedback]</t>
  </si>
  <si>
    <t>[tidBurnFeedback]</t>
  </si>
  <si>
    <t>[tidName]</t>
  </si>
  <si>
    <t>[rewardScore]</t>
  </si>
  <si>
    <t>[minTierDestructionFeedback]</t>
  </si>
  <si>
    <t>[minTierDestruction]</t>
  </si>
  <si>
    <t>[destroyFeedbackChance]</t>
  </si>
  <si>
    <t>[burnFeedbackChance]</t>
  </si>
  <si>
    <t>[minTierBurn]</t>
  </si>
  <si>
    <t>[minTierBurnFeedback]</t>
  </si>
  <si>
    <t>[minTierDisintegrate]</t>
  </si>
  <si>
    <t>[size]</t>
  </si>
  <si>
    <t>[category]</t>
  </si>
  <si>
    <t>{decorationDefinitions}</t>
  </si>
  <si>
    <t>List of strings separated by ;</t>
  </si>
  <si>
    <t>[0..1] probability of showing a feedback message</t>
  </si>
  <si>
    <t>DECO DEFINITIONS</t>
  </si>
  <si>
    <t>TID_QUIP_DRG_BURN_ENT_05;TID_QUIP_DRG_BURN_ENT_09</t>
  </si>
  <si>
    <t>TID_QUIP_DRG_KILL_ENT_GOODJUNK_01;TID_QUIP_DRG_KILL_ENT_GOODJUNK_02</t>
  </si>
  <si>
    <t>TID_EDIBLE_XMASFOOD</t>
  </si>
  <si>
    <t>collectible</t>
  </si>
  <si>
    <t>xmasFood</t>
  </si>
  <si>
    <t>TID_QUIP_DRG_BURN_GOBLIN_WORKER_01;TID_QUIP_DRG_BURN_GOBLIN_WORKER_02;TID_QUIP_DRG_BURN_GOBLIN_WORKER_03</t>
  </si>
  <si>
    <t>TID_QUIP_DRG_KILL_ENT_GOBLIN_WORKER_01;TID_QUIP_DRG_KILL_ENT_GOBLIN_WORKER_02;TID_QUIP_DRG_KILL_ENT_GOBLIN_WORKER_03</t>
  </si>
  <si>
    <t>TID_EDIBLE_GOBLIN_WORKER</t>
  </si>
  <si>
    <t>monster</t>
  </si>
  <si>
    <t>carnivorousPlant</t>
  </si>
  <si>
    <t>goblin</t>
  </si>
  <si>
    <t>WorkerWagon</t>
  </si>
  <si>
    <t>Worker</t>
  </si>
  <si>
    <t>TID_QUIP_DRG_BURN_SHIELDMAN_01;TID_QUIP_DRG_BURN_SHIELDMAN_02;TID_QUIP_DRG_BURN_SHIELDMAN_03</t>
  </si>
  <si>
    <t>TID_QUIP_DRG_KILL_ENT_SHIELDMAN_01;TID_QUIP_DRG_KILL_ENT_SHIELDMAN_02;TID_QUIP_DRG_KILL_ENT_SHIELDMAN_03</t>
  </si>
  <si>
    <t>TID_EDIBLE_SHIELDMAN</t>
  </si>
  <si>
    <t>WitchShield</t>
  </si>
  <si>
    <t>TID_QUIP_HUMAN_KILL_DRG_WITCH_01;TID_QUIP_HUMAN_KILL_DRG_WITCH_02</t>
  </si>
  <si>
    <t>TID_QUIP_HUMAN_DMG_DRG_WITCH_01;TID_QUIP_HUMAN_DMG_DRG_WITCH_02</t>
  </si>
  <si>
    <t>TID_QUIP_DRG_BURN_HUMAN_WITCH_01;TID_QUIP_DRG_BURN_HUMAN_WITCH_02;TID_QUIP_DRG_BURN_HUMAN_WITCH_03</t>
  </si>
  <si>
    <t>TID_QUIP_DRG_KILL_ENT_HUMAN_WITCH_01;TID_QUIP_DRG_KILL_ENT_HUMAN_WITCH_02;TID_QUIP_DRG_KILL_ENT_HUMAN_WITCH_03;TID_QUIP_DRG_KILL_HUMAN_05</t>
  </si>
  <si>
    <t>TID_EDIBLE_WITCH</t>
  </si>
  <si>
    <t>Witch</t>
  </si>
  <si>
    <t>TID_QUIP_DRG_BURN_ENT_04</t>
  </si>
  <si>
    <t>TID_QUIP_DRG_KILL_ENT_11;TID_QUIP_DRG_KILL_ENT_12</t>
  </si>
  <si>
    <t>TID_EDIBLE_PELICAN</t>
  </si>
  <si>
    <t>animal</t>
  </si>
  <si>
    <t>Vulture</t>
  </si>
  <si>
    <t>LadyBug</t>
  </si>
  <si>
    <t>TID_QUIP_DRG_BURN_HUMAN_VILLAGER_04;TID_QUIP_DRG_BURN_HUMAN_VILLAGER_05;TID_QUIP_DRG_BURN_HUMAN_VILLAGER_06</t>
  </si>
  <si>
    <t>TID_QUIP_DRG_KILL_ENT_HUMAN_VILLAGER_04;TID_QUIP_DRG_KILL_ENT_HUMAN_VILLAGER_05;TID_QUIP_DRG_KILL_HUMAN_07</t>
  </si>
  <si>
    <t>TID_EDIBLE_VILLAGER</t>
  </si>
  <si>
    <t>human</t>
  </si>
  <si>
    <t>Villager02</t>
  </si>
  <si>
    <t>TID_QUIP_DRG_BURN_HUMAN_VILLAGER_01;TID_QUIP_DRG_BURN_HUMAN_VILLAGER_02;TID_QUIP_DRG_BURN_HUMAN_VILLAGER_03</t>
  </si>
  <si>
    <t>TID_QUIP_DRG_KILL_ENT_HUMAN_VILLAGER_01;TID_QUIP_DRG_KILL_ENT_HUMAN_VILLAGER_02;TID_QUIP_DRG_KILL_ENT_HUMAN_VILLAGER_03;TID_QUIP_DRG_KILL_HUMAN_08</t>
  </si>
  <si>
    <t>Villager01</t>
  </si>
  <si>
    <t>TID_QUIP_ENT_KILL_DRG_TROLL_01;TID_QUIP_ENT_KILL_DRG_TROLL_02</t>
  </si>
  <si>
    <t>TID_QUIP_HUMAN_DMG_DRG_TROLL_01;TID_QUIP_HUMAN_DMG_DRG_TROLL_02</t>
  </si>
  <si>
    <t>TID_QUIP_DRG_BURN_TROLL_01;TID_QUIP_DRG_BURN_TROLL_02;TID_QUIP_DRG_BURN_TROLL_03</t>
  </si>
  <si>
    <t>TID_QUIP_DRG_KILL_ENT_TROLL_01;TID_QUIP_DRG_KILL_ENT_TROLL_02;TID_QUIP_DRG_KILL_ENT_TROLL_03</t>
  </si>
  <si>
    <t>TID_EDIBLE_TROLL</t>
  </si>
  <si>
    <t>Troll</t>
  </si>
  <si>
    <t>TID_QUIP_DRG_BURN_ENT_08</t>
  </si>
  <si>
    <t>TID_QUIP_DRG_KILL_ENT_05</t>
  </si>
  <si>
    <t>TID_EDIBLE_SMALLSTINGRAY</t>
  </si>
  <si>
    <t>StingraySmall</t>
  </si>
  <si>
    <t>TID_QUIP_DRG_KILL_ENT_04</t>
  </si>
  <si>
    <t>TID_EDIBLE_LARGESTINGRAY</t>
  </si>
  <si>
    <t>StingrayLarge</t>
  </si>
  <si>
    <t>TID_QUIP_DRG_BURN_ENT_03;TID_QUIP_DRG_BURN_ENT_02;TID_QUIP_DRG_BURN_ENT_01</t>
  </si>
  <si>
    <t>TID_QUIP_DRG_KILL_ENT_STARLING_01;TID_QUIP_DRG_KILL_ENT_STARLING_02;TID_QUIP_DRG_KILL_ENT_STARLING_03</t>
  </si>
  <si>
    <t>TID_EDIBLE_STARLING</t>
  </si>
  <si>
    <t>Starling_Flock</t>
  </si>
  <si>
    <t>TID_QUIP_DRG_BURN_ENT_03;TID_QUIP_DRG_BURN_ENT_04;TID_QUIP_DRG_BURN_ENT_08;TID_QUIP_DRG_BURN_ENT_09</t>
  </si>
  <si>
    <t>TID_QUIP_DRG_KILL_ENT_01;TID_QUIP_DRG_KILL_ENT_02;TID_QUIP_DRG_KILL_ENT_03;TID_QUIP_DRG_KILL_ENT_06</t>
  </si>
  <si>
    <t>TID_EDIBLE_SPIDER</t>
  </si>
  <si>
    <t>SpiderSmall</t>
  </si>
  <si>
    <t>TID_QUIP_ENT_KILL_DRG_SPIDERRED_01</t>
  </si>
  <si>
    <t>TID_QUIP_ENT_DMG_DRG_01</t>
  </si>
  <si>
    <t>TID_QUIP_DRG_BURN_ENT_09;TID_QUIP_DRG_BURN_ENT_08;TID_QUIP_DRG_BURN_ENT_07</t>
  </si>
  <si>
    <t>TID_QUIP_DRG_KILL_ENT_SPIDERRED_01</t>
  </si>
  <si>
    <t>TID_EDIBLE_SPIDERMELEE</t>
  </si>
  <si>
    <t>SpiderRed</t>
  </si>
  <si>
    <t>TID_QUIP_ENT_KILL_DRG_SPIDERGREEN_01;TID_QUIP_ENT_KILL_DRG_SPIDERGREEN_02</t>
  </si>
  <si>
    <t>TID_QUIP_DRG_BURN_ENT_06;TID_QUIP_DRG_BURN_ENT_05;TID_QUIP_DRG_BURN_ENT_04</t>
  </si>
  <si>
    <t>TID_QUIP_DRG_KILL_ENT_SPIDERGREEN_01;TID_QUIP_DRG_KILL_ENT_SPIDERGREEN_02;TID_QUIP_DRG_KILL_ENT_SPIDERGREEN_03</t>
  </si>
  <si>
    <t>TID_EDIBLE_SPIDERRANGED</t>
  </si>
  <si>
    <t>SpiderGreenTurret</t>
  </si>
  <si>
    <t>TID_QUIP_ENT_KILL_DRG_GOBLIN_WARRIOR_01;TID_QUIP_ENT_KILL_DRG_GOBLIN_WARRIOR_02</t>
  </si>
  <si>
    <t>TID_QUIP_ENT_DMG_DRG_GOBLIN_WARRIOR_01;TID_QUIP_ENT_DMG_DRG_GOBLIN_WARRIOR_02</t>
  </si>
  <si>
    <t>TID_QUIP_DRG_BURN_GOBLIN_WARRIOR_01;TID_QUIP_DRG_BURN_GOBLIN_WARRIOR_02;TID_QUIP_DRG_BURN_GOBLIN_WARRIOR_03</t>
  </si>
  <si>
    <t>TID_QUIP_DRG_KILL_ENT_GOBLIN_WARRIOR_01;TID_QUIP_DRG_KILL_ENT_GOBLIN_WARRIOR_02;TID_QUIP_DRG_KILL_ENT_GOBLIN_WARRIOR_03</t>
  </si>
  <si>
    <t>TID_EDIBLE_GOBLIN_WARRIOR</t>
  </si>
  <si>
    <t>Spartakus</t>
  </si>
  <si>
    <t>TID_QUIP_HUMAN_KILL_DRG_SOLDIER_01;TID_QUIP_HUMAN_KILL_DRG_SOLDIER_03</t>
  </si>
  <si>
    <t>TID_QUIP_HUMAN_DMG_DRG_SOLDIER_01;TID_QUIP_HUMAN_DMG_DRG_SOLDIER_02</t>
  </si>
  <si>
    <t>TID_QUIP_DRG_BURN_HUMAN_SOLDIER_01;TID_QUIP_DRG_BURN_HUMAN_SOLDIER_02;TID_QUIP_DRG_BURN_HUMAN_SOLDIER_03</t>
  </si>
  <si>
    <t>TID_QUIP_DRG_KILL_ENT_HUMAN_SOLDIER_01;TID_QUIP_DRG_KILL_ENT_HUMAN_SOLDIER_02;TID_QUIP_DRG_KILL_ENT_HUMAN_SOLDIER_03;TID_QUIP_DRG_KILL_HUMAN_09</t>
  </si>
  <si>
    <t>TID_EDIBLE_SOLDIER</t>
  </si>
  <si>
    <t>Soldier</t>
  </si>
  <si>
    <t>TID_QUIP_ENT_KILL_DRG_SPIDERGREEN_02</t>
  </si>
  <si>
    <t>TID_QUIP_DRG_BURN_ENT_03</t>
  </si>
  <si>
    <t>TID_EDIBLE_SLIME_GREEN</t>
  </si>
  <si>
    <t>SlimePoison</t>
  </si>
  <si>
    <t>TID_QUIP_DRG_KILL_ENT_01</t>
  </si>
  <si>
    <t>TID_EDIBLE_SLIME</t>
  </si>
  <si>
    <t>Slime</t>
  </si>
  <si>
    <t>ShieldMan</t>
  </si>
  <si>
    <t>TID_QUIP_DRG_BURN_ENT_SHEEP_01;TID_QUIP_DRG_BURN_ENT_SHEEP_02;TID_QUIP_DRG_BURN_ENT_SHEEP_03;TID_QUIP_DRG_BURN_ENT_01</t>
  </si>
  <si>
    <t>TID_QUIP_DRG_KILL_ENT_SHEEP_01;TID_QUIP_DRG_KILL_ENT_SHEEP_02;TID_QUIP_DRG_KILL_ENT_SHEEP_03</t>
  </si>
  <si>
    <t>TID_EDIBLE_SHEEP</t>
  </si>
  <si>
    <t>Sheep</t>
  </si>
  <si>
    <t>TID_QUIP_ENT_KILL_DRG_PIRANHA_01;TID_QUIP_ENT_KILL_DRG_PIRANHA_03</t>
  </si>
  <si>
    <t>TID_QUIP_ENT_DMG_DRG_PIRANHA_01;TID_QUIP_ENT_DMG_DRG_PIRANHA_02</t>
  </si>
  <si>
    <t>TID_QUIP_DRG_BURN_ENT_05</t>
  </si>
  <si>
    <t>TID_EDIBLE_SHARK</t>
  </si>
  <si>
    <t>Shark</t>
  </si>
  <si>
    <t>TID_QUIP_DRG_BURN_HUMAN_01;TID_QUIP_DRG_BURN_HUMAN_02;TID_QUIP_DRG_BURN_HUMAN_03;TID_QUIP_DRG_BURN_HUMAN_04</t>
  </si>
  <si>
    <t>TID_QUIP_DRG_KILL_HUMAN_01;TID_QUIP_DRG_KILL_HUMAN_02;TID_QUIP_DRG_KILL_HUMAN_03;TID_QUIP_DRG_KILL_HUMAN_06</t>
  </si>
  <si>
    <t>TID_EDIBLE_RICHMAN</t>
  </si>
  <si>
    <t>RichMan</t>
  </si>
  <si>
    <t>TID_EDIBLE_RAZORBACK</t>
  </si>
  <si>
    <t>Razorback</t>
  </si>
  <si>
    <t>TID_QUIP_DRG_BURN_RAT_01;TID_QUIP_DRG_BURN_RAT_02;TID_QUIP_DRG_BURN_RAT_03</t>
  </si>
  <si>
    <t>TID_QUIP_DRG_KILL_ENT_RAT_01;TID_QUIP_DRG_KILL_ENT_RAT_02;TID_QUIP_DRG_KILL_ENT_RAT_03</t>
  </si>
  <si>
    <t>TID_EDIBLE_RAT</t>
  </si>
  <si>
    <t>Rat</t>
  </si>
  <si>
    <t>TID_QUIP_DRG_BURN_ENT_02</t>
  </si>
  <si>
    <t>TID_QUIP_DRG_KILL_ENT_07;TID_QUIP_DRG_KILL_ENT_08</t>
  </si>
  <si>
    <t>TID_EDIBLE_PUFFERBIRD</t>
  </si>
  <si>
    <t>PufferBird</t>
  </si>
  <si>
    <t>TID_QUIP_DRG_BURN_ENT_03;TID_QUIP_DRG_BURN_ENT_09</t>
  </si>
  <si>
    <t>TID_QUIP_DRG_KILL_ENT_PIRANHA_01</t>
  </si>
  <si>
    <t>TID_EDIBLE_PIRANHA</t>
  </si>
  <si>
    <t>Piranha</t>
  </si>
  <si>
    <t>TID_QUIP_DRG_BURN_ENT_OWL_01;TID_QUIP_DRG_BURN_ENT_OWL_02</t>
  </si>
  <si>
    <t>TID_QUIP_DRG_KILL_ENT_OWL_01</t>
  </si>
  <si>
    <t>TID_EDIBLE_OWL_SMALL</t>
  </si>
  <si>
    <t>OwlSmall</t>
  </si>
  <si>
    <t>TID_EDIBLE_OWL_LARGE</t>
  </si>
  <si>
    <t>OwlBig</t>
  </si>
  <si>
    <t>TID_QUIP_DRG_KILL_ENT_08</t>
  </si>
  <si>
    <t>TID_EDIBLE_MUSHROOM</t>
  </si>
  <si>
    <t>Mushroom</t>
  </si>
  <si>
    <t>TID_QUIP_ENT_KILL_DRG_MINEBIG_01;TID_QUIP_ENT_KILL_DRG_MINEBIG_02</t>
  </si>
  <si>
    <t>TID_QUIP_ENT_DMG_DRG_MINEBIG_01;TID_QUIP_ENT_DMG_DRG_01</t>
  </si>
  <si>
    <t>TID_QUIP_DRG_KILL_ENT_MINE_01;TID_QUIP_DRG_BURN_ENT_07;TID_QUIP_DRG_BURN_ENT_09</t>
  </si>
  <si>
    <t>TID_QUIP_DRG_KILL_ENT_MINE_01</t>
  </si>
  <si>
    <t>TID_KILLABLE_MINE_02</t>
  </si>
  <si>
    <t>MineWagonMine</t>
  </si>
  <si>
    <t>TID_QUIP_ENT_KILL_DRG_MINE_01;TID_QUIP_ENT_KILL_DRG_MINE_02</t>
  </si>
  <si>
    <t>TID_QUIP_ENT_DMG_DRG_MINESMALL_01;TID_QUIP_ENT_DMG_DRG_MINESMALL_02</t>
  </si>
  <si>
    <t>TID_QUIP_DRG_KILL_ENT_MINE_01;TID_QUIP_DRG_BURN_ENT_01;TID_QUIP_DRG_BURN_ENT_02</t>
  </si>
  <si>
    <t>TID_KILLABLE_MINE_01</t>
  </si>
  <si>
    <t>MineSmall</t>
  </si>
  <si>
    <t>MineMedium</t>
  </si>
  <si>
    <t>TID_KILLABLE_MINE_03</t>
  </si>
  <si>
    <t>MineBig</t>
  </si>
  <si>
    <t>TID_QUIP_HUMAN_KILL_DRG_CROSSBOWGIRL_01;TID_QUIP_HUMAN_KILL_DRG_CROSSBOWGIRL_02</t>
  </si>
  <si>
    <t>TID_QUIP_ENT_DMG_DRG_CROSSBOWGIRL_01;TID_QUIP_ENT_DMG_DRG_CROSSBOWGIRL_02</t>
  </si>
  <si>
    <t>TID_QUIP_DRG_BURN_CROSSBOWGIRL_01;TID_QUIP_DRG_BURN_CROSSBOWGIRL_02;TID_QUIP_DRG_BURN_CROSSBOWGIRL_03</t>
  </si>
  <si>
    <t>TID_QUIP_DRG_KILL_ENT_CROSSBOWGIRL_01;TID_QUIP_DRG_KILL_ENT_CROSSBOWGIRL_02;TID_QUIP_DRG_KILL_ENT_CROSSBOWGIRL_03</t>
  </si>
  <si>
    <t>TID_EDIBLE_HUMAN_CROSSBOWGIRL</t>
  </si>
  <si>
    <t>Merida</t>
  </si>
  <si>
    <t>TID_QUIP_DRG_BURN_ENT_HORSE_01;TID_QUIP_DRG_BURN_ENT_HORSE_02;TID_QUIP_DRG_BURN_ENT_HORSE_03</t>
  </si>
  <si>
    <t>TID_QUIP_DRG_KILL_ENT_HORSE_01;TID_QUIP_DRG_KILL_ENT_HORSE_02;TID_QUIP_DRG_KILL_ENT_HORSE_03</t>
  </si>
  <si>
    <t>TID_EDIBLE_HORSE</t>
  </si>
  <si>
    <t>MediumFood_Dark</t>
  </si>
  <si>
    <t>TID_QUIP_DRG_BURN_ENT_09</t>
  </si>
  <si>
    <t>TID_QUIP_DRG_KILL_ENT_09;TID_QUIP_DRG_KILL_ENT_10</t>
  </si>
  <si>
    <t>TID_EDIBLE_LIONBIRD</t>
  </si>
  <si>
    <t>LionBird</t>
  </si>
  <si>
    <t>TID_QUIP_ENT_KILL_DRG_GOBLIN_KAMIKAZE_01;TID_QUIP_ENT_KILL_DRG_GOBLIN_KAMIKAZE_02</t>
  </si>
  <si>
    <t>TID_QUIP_ENT_DMG_DRG_GOBLIN_KAMIKAZE_01;TID_QUIP_ENT_DMG_DRG_GOBLIN_KAMIKAZE_02</t>
  </si>
  <si>
    <t>TID_QUIP_DRG_BURN_GOBLIN_KAMIKAZE_01;TID_QUIP_DRG_BURN_GOBLIN_KAMIKAZE_02;TID_QUIP_DRG_BURN_GOBLIN_KAMIKAZE_03</t>
  </si>
  <si>
    <t>TID_QUIP_DRG_KILL_ENT_GOBLIN_KAMIKAZE_01;TID_QUIP_DRG_KILL_ENT_GOBLIN_KAMIKAZE_02;TID_QUIP_DRG_KILL_ENT_GOBLIN_KAMIKAZE_03</t>
  </si>
  <si>
    <t>TID_EDIBLE_GOBLIN_KAMIKAZE</t>
  </si>
  <si>
    <t>Kamikaze</t>
  </si>
  <si>
    <t>Horse</t>
  </si>
  <si>
    <t>TID_QUIP_ENT_KILL_DRG_EAGLE_01</t>
  </si>
  <si>
    <t>TID_QUIP_ENT_DMG_DRG_EAGLE_01;TID_QUIP_ENT_DMG_DRG_EAGLE_02;TID_QUIP_ENT_DMG_DRG_01</t>
  </si>
  <si>
    <t>TID_QUIP_DRG_BURN_ENT_EAGLE_01;TID_QUIP_DRG_BURN_ENT_EAGLE_02;TID_QUIP_DRG_BURN_ENT_EAGLE_03</t>
  </si>
  <si>
    <t>TID_QUIP_DRG_KILL_ENT_EAGLE_01</t>
  </si>
  <si>
    <t>TID_EDIBLE_HAWK</t>
  </si>
  <si>
    <t>0.2</t>
  </si>
  <si>
    <t>Hawk</t>
  </si>
  <si>
    <t>TID_QUIP_HUMAN_KILL_DRG_SOLDIER_02</t>
  </si>
  <si>
    <t>TID_QUIP_DRG_BURN_ENT_07</t>
  </si>
  <si>
    <t>TID_EDIBLE_GOBLIN_GUARDIAN</t>
  </si>
  <si>
    <t>Guardian</t>
  </si>
  <si>
    <t>GroundSmallFood_Dark</t>
  </si>
  <si>
    <t>SnailUnka</t>
  </si>
  <si>
    <t>TID_QUIP_DRG_KILL_ENT_03</t>
  </si>
  <si>
    <t>TID_EDIBLE_WITCH_SLIM</t>
  </si>
  <si>
    <t>GoodWitch02</t>
  </si>
  <si>
    <t>GoodWitch</t>
  </si>
  <si>
    <t>TID_EDIBLE_STAR</t>
  </si>
  <si>
    <t>GoodJunkScore</t>
  </si>
  <si>
    <t>TID_EDIBLE_GOODJUNK</t>
  </si>
  <si>
    <t>GoodJunkBottle</t>
  </si>
  <si>
    <t>TID_QUIP_ENT_KILL_DRG_MINE_02</t>
  </si>
  <si>
    <t>TID_QUIP_DRG_BURN_ENT_06</t>
  </si>
  <si>
    <t>TID_KILLABLE_WARMACHINE</t>
  </si>
  <si>
    <t>vehicle</t>
  </si>
  <si>
    <t>GoblinWarMachine</t>
  </si>
  <si>
    <t>TID_QUIP_HUMAN_DMG_DRG_ARCHER_01</t>
  </si>
  <si>
    <t>TID_QUIP_DRG_KILL_ENT_02</t>
  </si>
  <si>
    <t>TID_KILLABLE_GOBLIN_BOAT</t>
  </si>
  <si>
    <t>GoblinBoat</t>
  </si>
  <si>
    <t>TID_QUIP_ENT_KILL_DRG_GHOST_01;TID_QUIP_ENT_KILL_DRG_GHOST_02;TID_QUIP_ENT_KILL_DRG_GHOST_04</t>
  </si>
  <si>
    <t>TID_QUIP_ENT_DMG_DRG_GHOST_01;TID_QUIP_ENT_DMG_DRG_GHOST_02;TID_QUIP_ENT_DMG_DRG_GHOST_03</t>
  </si>
  <si>
    <t>TID_QUIP_DRG_BURN_ENT_GHOST_01;TID_QUIP_DRG_BURN_ENT_GHOST_02;TID_QUIP_DRG_BURN_ENT_GHOST_03</t>
  </si>
  <si>
    <t>TID_QUIP_DRG_KILL_ENT_GHOST_01;TID_QUIP_DRG_KILL_ENT_GHOST_02;TID_QUIP_DRG_KILL_ENT_GHOST_03</t>
  </si>
  <si>
    <t>TID_EDIBLE_GHOST_03</t>
  </si>
  <si>
    <t>Ghost03</t>
  </si>
  <si>
    <t>TID_EDIBLE_GHOST_02</t>
  </si>
  <si>
    <t>Ghost02</t>
  </si>
  <si>
    <t>TID_EDIBLE_GHOST_01</t>
  </si>
  <si>
    <t>Ghost01</t>
  </si>
  <si>
    <t>TID_QUIP_ENT_KILL_DRG_BATBIG_01;TID_QUIP_ENT_KILL_DRG_BATBIG_02</t>
  </si>
  <si>
    <t>TID_QUIP_ENT_DMG_DRG_BATBIG_01;TID_QUIP_ENT_DMG_DRG_BATBIG_02</t>
  </si>
  <si>
    <t>TID_EDIBLE_GARGOYLE</t>
  </si>
  <si>
    <t>Gargoyle</t>
  </si>
  <si>
    <t>TID_QUIP_DRG_KILL_ENT_10</t>
  </si>
  <si>
    <t>TID_EDIBLE_TICKET</t>
  </si>
  <si>
    <t>FlyingTicket</t>
  </si>
  <si>
    <t>TID_QUIP_DRG_BURN_ENT_FLYINGPIG_01;TID_QUIP_DRG_BURN_ENT_FLYINGPIG_02;TID_QUIP_DRG_BURN_ENT_FLYINGPIG_03</t>
  </si>
  <si>
    <t>TID_QUIP_DRG_KILL_ENT_FLYINGPIG_01;TID_QUIP_DRG_KILL_ENT_FLYINGPIG_02;TID_QUIP_DRG_KILL_ENT_FLYINGPIG_03</t>
  </si>
  <si>
    <t>TID_EDIBLE_FLYINGPIG</t>
  </si>
  <si>
    <t>FlyingPig</t>
  </si>
  <si>
    <t>TID_EDIBLE_FLYINGBUNNY</t>
  </si>
  <si>
    <t>FlyingBunny</t>
  </si>
  <si>
    <t>TID_QUIP_DRG_BURN_ENT_FISH_01;TID_QUIP_DRG_BURN_ENT_FISH_02;TID_QUIP_DRG_BURN_ENT_FISH_03</t>
  </si>
  <si>
    <t>TID_QUIP_DRG_KILL_ENT_FISH_01;TID_QUIP_DRG_KILL_ENT_FISH_02;TID_QUIP_DRG_KILL_ENT_FISH_03</t>
  </si>
  <si>
    <t>TID_EDIBLE_FISH_03</t>
  </si>
  <si>
    <t>Fish03_Generic</t>
  </si>
  <si>
    <t>TID_EDIBLE_FISH_02</t>
  </si>
  <si>
    <t>Fish02_Generic</t>
  </si>
  <si>
    <t>TID_EDIBLE_FISH_01</t>
  </si>
  <si>
    <t>Fish01_Generic</t>
  </si>
  <si>
    <t>TID_EDIBLE_FAIRY_SMALL</t>
  </si>
  <si>
    <t>FairySmall</t>
  </si>
  <si>
    <t>TID_EDIBLE_FAIRY_BIG</t>
  </si>
  <si>
    <t>FairyBig</t>
  </si>
  <si>
    <t>TID_QUIP_ENT_KILL_DRG_EVILDRAGON_01;TID_QUIP_ENT_KILL_DRG_EVILDRAGON_03</t>
  </si>
  <si>
    <t>TID_QUIP_ENT_DMG_DRG_EVILDRAGON_01;TID_QUIP_ENT_DMG_DRG_EVILDRAGON_02;TID_QUIP_ENT_DMG_DRG_01</t>
  </si>
  <si>
    <t>TID_QUIP_DRG_BURN_ENT_EVILDRAGON_01;TID_QUIP_DRG_BURN_ENT_EVILDRAGON_02</t>
  </si>
  <si>
    <t>TID_QUIP_DRG_KILL_ENT_EVILDRAGON_01;TID_QUIP_DRG_KILL_ENT_EVILDRAGON_02;TID_QUIP_DRG_KILL_ENT_EVILDRAGON_03</t>
  </si>
  <si>
    <t>TID_EDIBLE_ENEMY_TIER_4</t>
  </si>
  <si>
    <t>dragon</t>
  </si>
  <si>
    <t>EnemyTier4</t>
  </si>
  <si>
    <t>TID_EDIBLE_ENEMY_TIER_3</t>
  </si>
  <si>
    <t>EnemyTier3</t>
  </si>
  <si>
    <t>TID_EDIBLE_ENEMY_TIER_2</t>
  </si>
  <si>
    <t>EnemyTier2</t>
  </si>
  <si>
    <t>TID_EDIBLE_ENEMY_TIER_1</t>
  </si>
  <si>
    <t>EnemyTier1</t>
  </si>
  <si>
    <t>TID_EDIBLE_ENEMY_TIER_0</t>
  </si>
  <si>
    <t>EnemyTier0</t>
  </si>
  <si>
    <t>TID_QUIP_DRG_BURN_ENT_01;TID_QUIP_DRG_BURN_ENT_02;TID_QUIP_DRG_BURN_ENT_03</t>
  </si>
  <si>
    <t>TID_QUIP_DRG_KILL_ENT_HUMAN_FRIAR_01;TID_QUIP_DRG_KILL_ENT_HUMAN_FRIAR_02;TID_QUIP_DRG_KILL_ENT_HUMAN_FRIAR_03</t>
  </si>
  <si>
    <t>TID_EDIBLE_DRUNKENMAN</t>
  </si>
  <si>
    <t>DrunkenMan</t>
  </si>
  <si>
    <t>TID_QUIP_HUMAN_KILL_DRG_ARCHER_04</t>
  </si>
  <si>
    <t>TID_QUIP_DRG_KILL_ENT_01;TID_QUIP_DRG_KILL_ENT_02</t>
  </si>
  <si>
    <t>TID_EDIBLE_GOBLIN_DRILLER</t>
  </si>
  <si>
    <t>Driller</t>
  </si>
  <si>
    <t>Dodo</t>
  </si>
  <si>
    <t>TID_QUIP_DRG_BURN_ENT_CROW_01;TID_QUIP_DRG_BURN_ENT_CROW_02;TID_QUIP_DRG_BURN_ENT_CROW_03</t>
  </si>
  <si>
    <t>TID_QUIP_DRG_KILL_ENT_CROW_01;TID_QUIP_DRG_KILL_ENT_CROW_02;TID_QUIP_DRG_KILL_ENT_CROW_03</t>
  </si>
  <si>
    <t>TID_EDIBLE_CROW</t>
  </si>
  <si>
    <t>Crow_Flock</t>
  </si>
  <si>
    <t>TID_EDIBLE_CROCODILE</t>
  </si>
  <si>
    <t>Crocodile</t>
  </si>
  <si>
    <t>TID_QUIP_DRG_BURN_ENT_COW_01;TID_QUIP_DRG_BURN_ENT_01;TID_QUIP_DRG_BURN_ENT_07</t>
  </si>
  <si>
    <t>TID_QUIP_DRG_KILL_ENT_COW_01;TID_QUIP_DRG_KILL_ENT_COW_02;TID_QUIP_DRG_KILL_ENT_COW_03</t>
  </si>
  <si>
    <t>TID_EDIBLE_COW</t>
  </si>
  <si>
    <t>Cow</t>
  </si>
  <si>
    <t>TID_EDIBLE_CATAPULTER</t>
  </si>
  <si>
    <t>Catapulter</t>
  </si>
  <si>
    <t>TID_QUIP_DRG_BURN_ENT_07;TID_QUIP_DRG_BURN_ENT_08;TID_QUIP_DRG_BURN_ENT_09</t>
  </si>
  <si>
    <t>TID_QUIP_DRG_KILL_ENT_CANARY_01;TID_QUIP_DRG_KILL_ENT_CANARY_02;TID_QUIP_DRG_KILL_ENT_CANARY_03</t>
  </si>
  <si>
    <t>TID_EDIBLE_CANARY_04</t>
  </si>
  <si>
    <t>Canary04_Flock</t>
  </si>
  <si>
    <t>TID_QUIP_DRG_BURN_ENT_03;TID_QUIP_DRG_BURN_ENT_04;TID_QUIP_DRG_BURN_ENT_06</t>
  </si>
  <si>
    <t>TID_EDIBLE_CANARY_03</t>
  </si>
  <si>
    <t>Canary03_Flock</t>
  </si>
  <si>
    <t>TID_QUIP_DRG_BURN_ENT_04;TID_QUIP_DRG_BURN_ENT_05;TID_QUIP_DRG_BURN_ENT_06</t>
  </si>
  <si>
    <t>TID_EDIBLE_CANARY_02</t>
  </si>
  <si>
    <t>Canary02_Flock</t>
  </si>
  <si>
    <t>TID_EDIBLE_CANARY_01</t>
  </si>
  <si>
    <t>Canary01_Flock</t>
  </si>
  <si>
    <t>TID_QUIP_ENT_KILL_DRG_GOBLIN_BOMBER_01;TID_QUIP_ENT_KILL_DRG_GOBLIN_BOMBER_02</t>
  </si>
  <si>
    <t>TID_QUIP_ENT_DMG_DRG_GOBLIN_BOMBER_01;TID_QUIP_ENT_DMG_DRG_GOBLIN_BOMBER_02</t>
  </si>
  <si>
    <t>TID_QUIP_DRG_BURN_GOBLIN_BOMBER_01;TID_QUIP_DRG_BURN_GOBLIN_BOMBER_02;TID_QUIP_DRG_BURN_GOBLIN_BOMBER_03</t>
  </si>
  <si>
    <t>TID_QUIP_DRG_KILL_ENT_GOBLIN_BOMBER_01;TID_QUIP_DRG_KILL_ENT_GOBLIN_BOMBER_02;TID_QUIP_DRG_KILL_ENT_GOBLIN_BOMBER_03</t>
  </si>
  <si>
    <t>TID_EDIBLE_GOBLIN_BOMBER</t>
  </si>
  <si>
    <t>Bomber</t>
  </si>
  <si>
    <t>BoatFisher</t>
  </si>
  <si>
    <t>BigFood_Dark</t>
  </si>
  <si>
    <t>TID_QUIP_DRG_BURN_ENT_BATSMALL_01;TID_QUIP_DRG_BURN_ENT_BATSMALL_02;TID_QUIP_DRG_BURN_ENT_BATSMALL_03</t>
  </si>
  <si>
    <t>TID_QUIP_DRG_KILL_ENT_BATSMALL_01;TID_QUIP_DRG_KILL_ENT_BATSMALL_02;TID_QUIP_DRG_KILL_ENT_BATSMALL_03</t>
  </si>
  <si>
    <t>TID_EDIBLE_BAT</t>
  </si>
  <si>
    <t>BatSmall_Flock</t>
  </si>
  <si>
    <t>TID_QUIP_DRG_BURN_ENT_BATBIG_01;TID_QUIP_DRG_BURN_ENT_BATBIG_02;TID_QUIP_DRG_BURN_ENT_BATBIG_03</t>
  </si>
  <si>
    <t>TID_QUIP_DRG_KILL_ENT_BATBIG_01;TID_QUIP_DRG_KILL_ENT_BATBIG_02;TID_QUIP_DRG_KILL_ENT_BATBIG_03</t>
  </si>
  <si>
    <t>TID_EDIBLE_BATMELEE</t>
  </si>
  <si>
    <t>BatBig_Flock</t>
  </si>
  <si>
    <t>TID_QUIP_HUMAN_KILL_DRG_BAKERWOMAN_01;TID_QUIP_HUMAN_KILL_DRG_BAKERWOMAN_02</t>
  </si>
  <si>
    <t>TID_QUIP_ENT_DMG_DRG_BAKERWOMAN_01;TID_QUIP_ENT_DMG_DRG_BAKERWOMAN_02</t>
  </si>
  <si>
    <t>TID_QUIP_DRG_BURN_BAKERWOMAN_01;TID_QUIP_DRG_BURN_BAKERWOMAN_02;TID_QUIP_DRG_BURN_BAKERWOMAN_03</t>
  </si>
  <si>
    <t>TID_QUIP_DRG_KILL_ENT_BAKER_WOMAN_01;TID_QUIP_DRG_KILL_ENT_BAKER_WOMAN_02;TID_QUIP_DRG_KILL_ENT_BAKER_WOMAN_03</t>
  </si>
  <si>
    <t>TID_EDIBLE_BAKERWOMAN</t>
  </si>
  <si>
    <t>BakerWoman</t>
  </si>
  <si>
    <t>BadWitch</t>
  </si>
  <si>
    <t>TID_QUIP_DRG_KILL_ENT_BADJUNK</t>
  </si>
  <si>
    <t>TID_EDIBLE_BADJUNK</t>
  </si>
  <si>
    <t>BadJunk</t>
  </si>
  <si>
    <t>TID_QUIP_DRG_KILL_ENT_09</t>
  </si>
  <si>
    <t>TID_EDIBLE_FARMER</t>
  </si>
  <si>
    <t>BadFarmer</t>
  </si>
  <si>
    <t>TID_QUIP_HUMAN_KILL_DRG_ARCHER_03;TID_QUIP_HUMAN_KILL_DRG_ARCHER_05</t>
  </si>
  <si>
    <t>TID_QUIP_HUMAN_DMG_DRG_ARCHER_03;TID_QUIP_HUMAN_DMG_DRG_ARCHER_04</t>
  </si>
  <si>
    <t>TID_QUIP_DRG_BURN_HUMAN_ARCHER_02;TID_QUIP_DRG_BURN_HUMAN_ARCHER_03;TID_QUIP_DRG_BURN_HUMAN_03</t>
  </si>
  <si>
    <t>TID_QUIP_DRG_KILL_ENT_HUMAN_ARCHER_01;TID_QUIP_DRG_KILL_ENT_HUMAN_ARCHER_02;TID_QUIP_DRG_KILL_HUMAN_05</t>
  </si>
  <si>
    <t>TID_EDIBLE_ARCHERSTATIC</t>
  </si>
  <si>
    <t>Archer02</t>
  </si>
  <si>
    <t>TID_QUIP_HUMAN_KILL_DRG_ARCHER_01;TID_QUIP_HUMAN_KILL_DRG_ARCHER_03</t>
  </si>
  <si>
    <t>TID_QUIP_HUMAN_DMG_DRG_ARCHER_01;TID_QUIP_HUMAN_DMG_DRG_ARCHER_02</t>
  </si>
  <si>
    <t>TID_QUIP_DRG_BURN_HUMAN_ARCHER_01;TID_QUIP_DRG_BURN_HUMAN_ARCHER_02;TID_QUIP_DRG_BURN_HUMAN_07</t>
  </si>
  <si>
    <t>TID_QUIP_DRG_KILL_ENT_HUMAN_ARCHER_01;TID_QUIP_DRG_KILL_ENT_HUMAN_ARCHER_02;TID_QUIP_DRG_KILL_HUMAN_04</t>
  </si>
  <si>
    <t>TID_EDIBLE_ARCHER</t>
  </si>
  <si>
    <t>Archer01</t>
  </si>
  <si>
    <t>[tidDeathFeedback]</t>
  </si>
  <si>
    <t>[tidDamageFeedback]</t>
  </si>
  <si>
    <t>[tidEatFeedback]</t>
  </si>
  <si>
    <t>[deathFeedbackChance]</t>
  </si>
  <si>
    <t>[damageFeedbackChance]</t>
  </si>
  <si>
    <t>[eatFeedbackChance]</t>
  </si>
  <si>
    <t>[alcohol]</t>
  </si>
  <si>
    <t>[biteResistance]</t>
  </si>
  <si>
    <t>[maxHealth]</t>
  </si>
  <si>
    <t>[canBeLatchedOn]</t>
  </si>
  <si>
    <t>[canBeGrabed]</t>
  </si>
  <si>
    <t>[isBurnable]</t>
  </si>
  <si>
    <t>[burnableFromTier]</t>
  </si>
  <si>
    <t>[edibleFromTier]</t>
  </si>
  <si>
    <t>[grabFromTier]</t>
  </si>
  <si>
    <t>[latchOnFromTier]</t>
  </si>
  <si>
    <t>[isEdible]</t>
  </si>
  <si>
    <t>[pcChance]</t>
  </si>
  <si>
    <t>[goldenChance]</t>
  </si>
  <si>
    <t>[rewardXp]</t>
  </si>
  <si>
    <t>[rewardEnergy]</t>
  </si>
  <si>
    <t>[rewardHealth]</t>
  </si>
  <si>
    <t>[rewardPC]</t>
  </si>
  <si>
    <t>[rewardCoins]</t>
  </si>
  <si>
    <t>{entityDefinitions}</t>
  </si>
  <si>
    <t>[1..10]</t>
  </si>
  <si>
    <t>name_functionality_numberIfSeveral</t>
  </si>
  <si>
    <t>ENTITY DEFINITIONS</t>
  </si>
  <si>
    <t>pet</t>
  </si>
  <si>
    <t>obstacle</t>
  </si>
  <si>
    <t>{entityCategoryDefinitions}</t>
  </si>
  <si>
    <t>Add as much as needed!
No real impact in the game, used just for filtering and sorting definitions</t>
  </si>
  <si>
    <t>ENTITY CATEGORY DEFINITIONS</t>
  </si>
  <si>
    <t>Profiler</t>
  </si>
  <si>
    <t>area1</t>
  </si>
  <si>
    <t>ART_Profiler</t>
  </si>
  <si>
    <t>SP_Profiler;CO_Profiler;ART_Profiler</t>
  </si>
  <si>
    <t>level_2_data</t>
  </si>
  <si>
    <t>level_2</t>
  </si>
  <si>
    <t>Barcelona</t>
  </si>
  <si>
    <t>Test Spawners Toni</t>
  </si>
  <si>
    <t>ART_Toni_SpawnersTest</t>
  </si>
  <si>
    <t>SP_Toni_SpawnersTest;CO_Toni_SpawnersTest;ART_Toni_SpawnersTest</t>
  </si>
  <si>
    <t>level_1_data</t>
  </si>
  <si>
    <t>level_1</t>
  </si>
  <si>
    <t>Medieval_Final</t>
  </si>
  <si>
    <t>CO_Medieval_Gameplay_WIP</t>
  </si>
  <si>
    <t>CO_LevelEditor_Gameplay</t>
  </si>
  <si>
    <t>SP_Medieval_Final_Dark;SO_Medieval_Dark;ART_Particles_Dark;ART_L1_Background_Dark;ART_L1_Darkzone_Bigtree;ART_L1_loading_darkzone</t>
  </si>
  <si>
    <t>SP_Medieval_Final_Castle;SO_Medieval_Castle;ART_L1_Castle_Air_Currents;ART_L1_Castle_Dungeon;ART_L1_Castle;ART_L1_Castle_Water_Caves;ART_Particles_Castle;ART_L1_Background_Castle;ART_L1_Castle_Goblins_Mines;ART_L1_Castle_Hazards;ART_L1_loading_castle</t>
  </si>
  <si>
    <t>ART_Medieval_Lighting</t>
  </si>
  <si>
    <t>SP_Medieval_Final_Village;SO_Medieval_Village;ART_L1_Village_Fortress;ART_L1_Village_Goblin_World;ART_L1_Village_Human_Village;ART_L1_Village_Witch_Forest;ART_Particles_Village;ART_L1_Village_Water_Caves;ART_L1_Left_Mini_Cave;ART_twister_cave;ART_L1_Village_Air_Cool;ART_L1_loading_castle;ART_L1_Background_Village;ART_L1_loading_darkzone</t>
  </si>
  <si>
    <t>SP_Medieval_Final_Common;CO_Medieval_Final;ART_Medieval_Lighting;Art_Level_fog;ART_Levels_Background_Skies;SO_Medieval_Common</t>
  </si>
  <si>
    <t>level_0_data</t>
  </si>
  <si>
    <t>level_0</t>
  </si>
  <si>
    <t>tidDesc</t>
  </si>
  <si>
    <t>tidName</t>
  </si>
  <si>
    <t>comingSoon</t>
  </si>
  <si>
    <t>[gameplayWip]</t>
  </si>
  <si>
    <t>[levelEditor]</t>
  </si>
  <si>
    <t>[dragon_titan]</t>
  </si>
  <si>
    <t>[dragon_devil]</t>
  </si>
  <si>
    <t>[dragon_balrog]</t>
  </si>
  <si>
    <t>[dragon_classic]</t>
  </si>
  <si>
    <t>[dragon_bug]</t>
  </si>
  <si>
    <t>[dragon_chinese]</t>
  </si>
  <si>
    <t>[dragon_reptile]</t>
  </si>
  <si>
    <t>[dragon_fat]</t>
  </si>
  <si>
    <t>[dragon_crocodile]</t>
  </si>
  <si>
    <t>[dragon_baby]</t>
  </si>
  <si>
    <t>[area3]</t>
  </si>
  <si>
    <t>[area2]</t>
  </si>
  <si>
    <t>[area1Active]</t>
  </si>
  <si>
    <t>[area1]</t>
  </si>
  <si>
    <t>[common]</t>
  </si>
  <si>
    <t>[dataFile]</t>
  </si>
  <si>
    <t>dragonsToUnlock</t>
  </si>
  <si>
    <t>order</t>
  </si>
  <si>
    <t>{levelDefinitions}</t>
  </si>
  <si>
    <r>
      <t xml:space="preserve">WARNING: </t>
    </r>
    <r>
      <rPr>
        <i/>
        <sz val="11"/>
        <color theme="1"/>
        <rFont val="Calibri"/>
        <family val="2"/>
        <scheme val="minor"/>
      </rPr>
      <t>Any new scene (spawners, collision or art) must be added to the project build settings (ask a programmer if you don't know how to do so)</t>
    </r>
  </si>
  <si>
    <t>LEVEL DEFINITIONS</t>
  </si>
  <si>
    <t>100;200;300;400;500;600</t>
  </si>
  <si>
    <t>5;6;7;8;9;10</t>
  </si>
  <si>
    <t>hungry_letters</t>
  </si>
  <si>
    <t>[hardSpawnPercentage]</t>
  </si>
  <si>
    <t>[normalSpawnPercentage]</t>
  </si>
  <si>
    <t>[easySpawnPercentage]</t>
  </si>
  <si>
    <t>[scoreAwarded]</t>
  </si>
  <si>
    <t>[coinsAwarded]</t>
  </si>
  <si>
    <t>{hungryLettersDefinitions}</t>
  </si>
  <si>
    <t>HUNGRY LETTERS DEFINITIONS</t>
  </si>
  <si>
    <t>survival_bonus_9</t>
  </si>
  <si>
    <t>survival_bonus_8</t>
  </si>
  <si>
    <t>survival_bonus_7</t>
  </si>
  <si>
    <t>survival_bonus_6</t>
  </si>
  <si>
    <t>survival_bonus_5</t>
  </si>
  <si>
    <t>survival_bonus_4</t>
  </si>
  <si>
    <t>survival_bonus_3</t>
  </si>
  <si>
    <t>survival_bonus_2</t>
  </si>
  <si>
    <t>survival_bonus_1</t>
  </si>
  <si>
    <t>survival_bonus_0</t>
  </si>
  <si>
    <t>[bonusPerMinute]</t>
  </si>
  <si>
    <t>[survivedMinutes]</t>
  </si>
  <si>
    <t>{survivalBonusDefinitions}</t>
  </si>
  <si>
    <t>SURVIVAL BONUS DEFINITIONS</t>
  </si>
  <si>
    <t>God!</t>
  </si>
  <si>
    <t>&lt;FeedbackMessage&gt;</t>
  </si>
  <si>
    <t>multiplier_8</t>
  </si>
  <si>
    <t>You've got the power!</t>
  </si>
  <si>
    <t>multiplier_7</t>
  </si>
  <si>
    <t>It's over 9000!</t>
  </si>
  <si>
    <t>multiplier_6</t>
  </si>
  <si>
    <t>Amazing!</t>
  </si>
  <si>
    <t>multiplier_5</t>
  </si>
  <si>
    <t>Annihilator!</t>
  </si>
  <si>
    <t>Legendary!</t>
  </si>
  <si>
    <t>Terror of the Skies!</t>
  </si>
  <si>
    <t>multiplier_4</t>
  </si>
  <si>
    <t>Kill'em'all!</t>
  </si>
  <si>
    <t>Infamous!</t>
  </si>
  <si>
    <t>Killing Beast!</t>
  </si>
  <si>
    <t>multiplier_3</t>
  </si>
  <si>
    <t>Causing Panic!</t>
  </si>
  <si>
    <t>Hungry Dragon!</t>
  </si>
  <si>
    <t>Run you fools!</t>
  </si>
  <si>
    <t>multiplier_2</t>
  </si>
  <si>
    <t>Serious Stuff!</t>
  </si>
  <si>
    <t>Kill Streak!</t>
  </si>
  <si>
    <t>Bird Killer!</t>
  </si>
  <si>
    <t>multiplier_1</t>
  </si>
  <si>
    <t>multiplier_0</t>
  </si>
  <si>
    <t>[tidMessage]</t>
  </si>
  <si>
    <t>[requiredKillStreak]</t>
  </si>
  <si>
    <t>[multiplier]</t>
  </si>
  <si>
    <t>[order]</t>
  </si>
  <si>
    <t>{scoreMultiplierDefinitions}</t>
  </si>
  <si>
    <t>SCORE MULTIPLIER DEFINITIONS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</si>
</sst>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8"/>
      <name val="Calibri"/>
      <family val="2"/>
      <scheme val="minor"/>
    </font>
    <font>
      <i/>
      <sz val="11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1"/>
      <color theme="0" tint="-4.9989318521683403E-2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5">
    <xf numFmtId="0" fontId="0" fillId="0" borderId="0" xfId="0"/>
    <xf numFmtId="0" fontId="0" fillId="2" borderId="0" xfId="0" applyFill="1" applyBorder="1"/>
    <xf numFmtId="0" fontId="0" fillId="2" borderId="1" xfId="0" applyFill="1" applyBorder="1"/>
    <xf numFmtId="0" fontId="0" fillId="3" borderId="1" xfId="0" applyFill="1" applyBorder="1"/>
    <xf numFmtId="0" fontId="0" fillId="3" borderId="1" xfId="0" applyFont="1" applyFill="1" applyBorder="1"/>
    <xf numFmtId="49" fontId="4" fillId="4" borderId="2" xfId="0" applyNumberFormat="1" applyFont="1" applyFill="1" applyBorder="1" applyAlignment="1">
      <alignment textRotation="45"/>
    </xf>
    <xf numFmtId="0" fontId="4" fillId="5" borderId="2" xfId="0" applyFont="1" applyFill="1" applyBorder="1" applyAlignment="1">
      <alignment textRotation="45"/>
    </xf>
    <xf numFmtId="0" fontId="4" fillId="5" borderId="3" xfId="0" applyFont="1" applyFill="1" applyBorder="1" applyAlignment="1">
      <alignment textRotation="45"/>
    </xf>
    <xf numFmtId="0" fontId="5" fillId="0" borderId="0" xfId="0" applyFont="1"/>
    <xf numFmtId="0" fontId="6" fillId="6" borderId="4" xfId="0" applyFont="1" applyFill="1" applyBorder="1" applyAlignment="1"/>
    <xf numFmtId="0" fontId="7" fillId="7" borderId="1" xfId="0" applyNumberFormat="1" applyFont="1" applyFill="1" applyBorder="1"/>
    <xf numFmtId="0" fontId="7" fillId="7" borderId="5" xfId="0" applyNumberFormat="1" applyFont="1" applyFill="1" applyBorder="1"/>
    <xf numFmtId="0" fontId="7" fillId="8" borderId="5" xfId="0" applyNumberFormat="1" applyFont="1" applyFill="1" applyBorder="1"/>
    <xf numFmtId="0" fontId="7" fillId="9" borderId="5" xfId="0" applyNumberFormat="1" applyFont="1" applyFill="1" applyBorder="1"/>
    <xf numFmtId="0" fontId="7" fillId="9" borderId="6" xfId="0" applyNumberFormat="1" applyFont="1" applyFill="1" applyBorder="1"/>
    <xf numFmtId="0" fontId="0" fillId="9" borderId="6" xfId="0" applyNumberFormat="1" applyFill="1" applyBorder="1"/>
    <xf numFmtId="0" fontId="0" fillId="10" borderId="5" xfId="0" applyFill="1" applyBorder="1"/>
    <xf numFmtId="0" fontId="0" fillId="10" borderId="7" xfId="0" applyFill="1" applyBorder="1"/>
    <xf numFmtId="0" fontId="8" fillId="0" borderId="0" xfId="0" applyFont="1"/>
    <xf numFmtId="0" fontId="7" fillId="9" borderId="1" xfId="0" applyNumberFormat="1" applyFont="1" applyFill="1" applyBorder="1"/>
    <xf numFmtId="0" fontId="4" fillId="11" borderId="2" xfId="0" applyFont="1" applyFill="1" applyBorder="1" applyAlignment="1">
      <alignment textRotation="45"/>
    </xf>
    <xf numFmtId="0" fontId="4" fillId="12" borderId="2" xfId="0" applyFont="1" applyFill="1" applyBorder="1" applyAlignment="1">
      <alignment textRotation="45"/>
    </xf>
    <xf numFmtId="0" fontId="8" fillId="0" borderId="0" xfId="0" applyFont="1" applyAlignment="1"/>
    <xf numFmtId="0" fontId="8" fillId="0" borderId="0" xfId="0" applyFont="1" applyAlignment="1">
      <alignment wrapText="1"/>
    </xf>
    <xf numFmtId="0" fontId="0" fillId="0" borderId="0" xfId="0" applyFont="1"/>
    <xf numFmtId="0" fontId="9" fillId="7" borderId="8" xfId="0" applyNumberFormat="1" applyFont="1" applyFill="1" applyBorder="1" applyAlignment="1">
      <alignment horizontal="center" vertical="center"/>
    </xf>
    <xf numFmtId="0" fontId="2" fillId="7" borderId="5" xfId="0" applyNumberFormat="1" applyFont="1" applyFill="1" applyBorder="1" applyAlignment="1">
      <alignment horizontal="center" vertical="center"/>
    </xf>
    <xf numFmtId="0" fontId="2" fillId="13" borderId="5" xfId="0" applyNumberFormat="1" applyFont="1" applyFill="1" applyBorder="1" applyAlignment="1">
      <alignment horizontal="center" vertical="center"/>
    </xf>
    <xf numFmtId="0" fontId="2" fillId="13" borderId="9" xfId="0" applyNumberFormat="1" applyFont="1" applyFill="1" applyBorder="1" applyAlignment="1">
      <alignment horizontal="center" vertical="center"/>
    </xf>
    <xf numFmtId="0" fontId="2" fillId="14" borderId="8" xfId="0" applyFont="1" applyFill="1" applyBorder="1" applyAlignment="1">
      <alignment horizontal="center" vertical="center"/>
    </xf>
    <xf numFmtId="0" fontId="7" fillId="14" borderId="5" xfId="0" applyFont="1" applyFill="1" applyBorder="1" applyAlignment="1">
      <alignment horizontal="center" vertical="center"/>
    </xf>
    <xf numFmtId="0" fontId="7" fillId="5" borderId="5" xfId="0" applyNumberFormat="1" applyFont="1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5" xfId="0" applyNumberForma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10" xfId="0" applyNumberFormat="1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10" fillId="15" borderId="6" xfId="0" applyNumberFormat="1" applyFont="1" applyFill="1" applyBorder="1" applyAlignment="1">
      <alignment horizontal="center" vertical="center"/>
    </xf>
    <xf numFmtId="0" fontId="11" fillId="8" borderId="5" xfId="0" applyNumberFormat="1" applyFont="1" applyFill="1" applyBorder="1" applyAlignment="1">
      <alignment horizontal="center" vertical="center"/>
    </xf>
    <xf numFmtId="0" fontId="0" fillId="9" borderId="5" xfId="0" applyNumberForma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16" borderId="5" xfId="0" applyNumberFormat="1" applyFill="1" applyBorder="1" applyAlignment="1">
      <alignment horizontal="center" vertical="center"/>
    </xf>
    <xf numFmtId="2" fontId="10" fillId="15" borderId="5" xfId="0" applyNumberFormat="1" applyFont="1" applyFill="1" applyBorder="1" applyAlignment="1">
      <alignment horizontal="center" vertical="center"/>
    </xf>
    <xf numFmtId="0" fontId="0" fillId="5" borderId="9" xfId="0" applyNumberFormat="1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9" xfId="0" applyFont="1" applyFill="1" applyBorder="1" applyAlignment="1">
      <alignment horizontal="center" vertical="center"/>
    </xf>
    <xf numFmtId="0" fontId="0" fillId="10" borderId="11" xfId="0" applyFont="1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8" fillId="8" borderId="5" xfId="0" applyNumberFormat="1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2" fontId="0" fillId="16" borderId="5" xfId="0" applyNumberFormat="1" applyFill="1" applyBorder="1" applyAlignment="1">
      <alignment horizontal="center" vertical="center"/>
    </xf>
    <xf numFmtId="0" fontId="0" fillId="16" borderId="9" xfId="0" applyNumberFormat="1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2" fillId="7" borderId="8" xfId="0" applyNumberFormat="1" applyFont="1" applyFill="1" applyBorder="1" applyAlignment="1">
      <alignment horizontal="center" vertical="center"/>
    </xf>
    <xf numFmtId="0" fontId="0" fillId="7" borderId="5" xfId="0" applyNumberFormat="1" applyFont="1" applyFill="1" applyBorder="1" applyAlignment="1">
      <alignment horizontal="center" vertical="center"/>
    </xf>
    <xf numFmtId="0" fontId="0" fillId="7" borderId="9" xfId="0" applyNumberFormat="1" applyFont="1" applyFill="1" applyBorder="1" applyAlignment="1">
      <alignment horizontal="center" vertical="center"/>
    </xf>
    <xf numFmtId="0" fontId="2" fillId="17" borderId="8" xfId="0" applyFont="1" applyFill="1" applyBorder="1" applyAlignment="1">
      <alignment horizontal="center" vertical="center"/>
    </xf>
    <xf numFmtId="0" fontId="7" fillId="17" borderId="5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0" fillId="18" borderId="5" xfId="0" applyNumberFormat="1" applyFill="1" applyBorder="1" applyAlignment="1">
      <alignment horizontal="center" vertical="center"/>
    </xf>
    <xf numFmtId="2" fontId="0" fillId="18" borderId="5" xfId="0" applyNumberFormat="1" applyFill="1" applyBorder="1" applyAlignment="1">
      <alignment horizontal="center" vertical="center"/>
    </xf>
    <xf numFmtId="0" fontId="0" fillId="18" borderId="9" xfId="0" applyNumberFormat="1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1" xfId="0" applyFont="1" applyFill="1" applyBorder="1" applyAlignment="1">
      <alignment horizontal="center" vertical="center"/>
    </xf>
    <xf numFmtId="0" fontId="0" fillId="8" borderId="5" xfId="0" applyFont="1" applyFill="1" applyBorder="1" applyAlignment="1">
      <alignment horizontal="center" vertical="center"/>
    </xf>
    <xf numFmtId="0" fontId="0" fillId="8" borderId="5" xfId="0" applyNumberFormat="1" applyFont="1" applyFill="1" applyBorder="1" applyAlignment="1">
      <alignment horizontal="center" vertical="center"/>
    </xf>
    <xf numFmtId="0" fontId="0" fillId="9" borderId="5" xfId="0" applyNumberFormat="1" applyFont="1" applyFill="1" applyBorder="1" applyAlignment="1">
      <alignment horizontal="center" vertical="center"/>
    </xf>
    <xf numFmtId="0" fontId="8" fillId="8" borderId="1" xfId="0" applyNumberFormat="1" applyFont="1" applyFill="1" applyBorder="1" applyAlignment="1">
      <alignment horizontal="center" vertical="center"/>
    </xf>
    <xf numFmtId="0" fontId="0" fillId="9" borderId="5" xfId="0" applyFont="1" applyFill="1" applyBorder="1" applyAlignment="1">
      <alignment horizontal="center" vertical="center"/>
    </xf>
    <xf numFmtId="0" fontId="2" fillId="16" borderId="5" xfId="0" applyNumberFormat="1" applyFont="1" applyFill="1" applyBorder="1" applyAlignment="1">
      <alignment horizontal="center" vertical="center"/>
    </xf>
    <xf numFmtId="2" fontId="0" fillId="16" borderId="1" xfId="0" applyNumberFormat="1" applyFill="1" applyBorder="1" applyAlignment="1">
      <alignment horizontal="center" vertical="center"/>
    </xf>
    <xf numFmtId="0" fontId="2" fillId="16" borderId="9" xfId="0" applyNumberFormat="1" applyFont="1" applyFill="1" applyBorder="1" applyAlignment="1">
      <alignment horizontal="center" vertical="center"/>
    </xf>
    <xf numFmtId="0" fontId="0" fillId="10" borderId="8" xfId="0" applyFont="1" applyFill="1" applyBorder="1" applyAlignment="1">
      <alignment horizontal="center" vertical="center"/>
    </xf>
    <xf numFmtId="0" fontId="0" fillId="13" borderId="8" xfId="0" applyNumberFormat="1" applyFont="1" applyFill="1" applyBorder="1" applyAlignment="1">
      <alignment horizontal="center" vertical="center"/>
    </xf>
    <xf numFmtId="0" fontId="0" fillId="13" borderId="5" xfId="0" applyNumberFormat="1" applyFont="1" applyFill="1" applyBorder="1" applyAlignment="1">
      <alignment horizontal="center" vertical="center"/>
    </xf>
    <xf numFmtId="0" fontId="5" fillId="13" borderId="9" xfId="0" applyNumberFormat="1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/>
    </xf>
    <xf numFmtId="0" fontId="8" fillId="9" borderId="5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2" fillId="0" borderId="0" xfId="0" applyFont="1"/>
    <xf numFmtId="0" fontId="7" fillId="5" borderId="1" xfId="0" applyNumberFormat="1" applyFont="1" applyFill="1" applyBorder="1" applyAlignment="1">
      <alignment horizontal="center" vertical="center"/>
    </xf>
    <xf numFmtId="2" fontId="10" fillId="15" borderId="1" xfId="0" applyNumberFormat="1" applyFont="1" applyFill="1" applyBorder="1" applyAlignment="1">
      <alignment horizontal="center" vertical="center"/>
    </xf>
    <xf numFmtId="0" fontId="0" fillId="5" borderId="5" xfId="0" applyNumberForma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5" fillId="7" borderId="9" xfId="0" applyNumberFormat="1" applyFont="1" applyFill="1" applyBorder="1" applyAlignment="1">
      <alignment horizontal="center" vertical="center"/>
    </xf>
    <xf numFmtId="0" fontId="7" fillId="17" borderId="1" xfId="0" applyFont="1" applyFill="1" applyBorder="1" applyAlignment="1">
      <alignment horizontal="center" vertical="center"/>
    </xf>
    <xf numFmtId="2" fontId="0" fillId="18" borderId="1" xfId="0" applyNumberFormat="1" applyFill="1" applyBorder="1" applyAlignment="1">
      <alignment horizontal="center" vertical="center"/>
    </xf>
    <xf numFmtId="0" fontId="0" fillId="13" borderId="9" xfId="0" applyNumberFormat="1" applyFont="1" applyFill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8" fillId="13" borderId="8" xfId="0" applyNumberFormat="1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0" fontId="0" fillId="8" borderId="1" xfId="0" applyFont="1" applyFill="1" applyBorder="1" applyAlignment="1">
      <alignment horizontal="center" vertical="center"/>
    </xf>
    <xf numFmtId="0" fontId="0" fillId="16" borderId="5" xfId="0" applyNumberFormat="1" applyFont="1" applyFill="1" applyBorder="1" applyAlignment="1">
      <alignment horizontal="center" vertical="center"/>
    </xf>
    <xf numFmtId="2" fontId="0" fillId="16" borderId="1" xfId="0" applyNumberFormat="1" applyFont="1" applyFill="1" applyBorder="1" applyAlignment="1">
      <alignment horizontal="center" vertical="center"/>
    </xf>
    <xf numFmtId="0" fontId="9" fillId="13" borderId="8" xfId="0" applyNumberFormat="1" applyFont="1" applyFill="1" applyBorder="1" applyAlignment="1">
      <alignment horizontal="center" vertical="center"/>
    </xf>
    <xf numFmtId="0" fontId="5" fillId="13" borderId="12" xfId="0" applyNumberFormat="1" applyFont="1" applyFill="1" applyBorder="1" applyAlignment="1">
      <alignment horizontal="center" vertical="center"/>
    </xf>
    <xf numFmtId="0" fontId="0" fillId="16" borderId="12" xfId="0" applyNumberFormat="1" applyFill="1" applyBorder="1" applyAlignment="1">
      <alignment horizontal="center" vertical="center"/>
    </xf>
    <xf numFmtId="0" fontId="0" fillId="7" borderId="13" xfId="0" applyNumberFormat="1" applyFont="1" applyFill="1" applyBorder="1" applyAlignment="1">
      <alignment horizontal="center" vertical="center"/>
    </xf>
    <xf numFmtId="0" fontId="0" fillId="7" borderId="1" xfId="0" applyNumberFormat="1" applyFont="1" applyFill="1" applyBorder="1" applyAlignment="1">
      <alignment horizontal="center" vertical="center"/>
    </xf>
    <xf numFmtId="0" fontId="0" fillId="7" borderId="12" xfId="0" applyNumberFormat="1" applyFont="1" applyFill="1" applyBorder="1" applyAlignment="1">
      <alignment horizontal="center" vertical="center"/>
    </xf>
    <xf numFmtId="0" fontId="2" fillId="17" borderId="13" xfId="0" applyFont="1" applyFill="1" applyBorder="1" applyAlignment="1">
      <alignment horizontal="center" vertical="center"/>
    </xf>
    <xf numFmtId="0" fontId="0" fillId="18" borderId="1" xfId="0" applyNumberFormat="1" applyFill="1" applyBorder="1" applyAlignment="1">
      <alignment horizontal="center" vertical="center"/>
    </xf>
    <xf numFmtId="0" fontId="0" fillId="18" borderId="12" xfId="0" applyNumberFormat="1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4" xfId="0" applyFont="1" applyFill="1" applyBorder="1" applyAlignment="1">
      <alignment horizontal="center" vertical="center"/>
    </xf>
    <xf numFmtId="0" fontId="5" fillId="7" borderId="12" xfId="0" applyNumberFormat="1" applyFont="1" applyFill="1" applyBorder="1" applyAlignment="1">
      <alignment horizontal="center" vertical="center"/>
    </xf>
    <xf numFmtId="0" fontId="0" fillId="13" borderId="1" xfId="0" applyNumberFormat="1" applyFont="1" applyFill="1" applyBorder="1" applyAlignment="1">
      <alignment horizontal="center" vertical="center"/>
    </xf>
    <xf numFmtId="0" fontId="0" fillId="13" borderId="12" xfId="0" applyNumberFormat="1" applyFont="1" applyFill="1" applyBorder="1" applyAlignment="1">
      <alignment horizontal="center" vertical="center"/>
    </xf>
    <xf numFmtId="0" fontId="2" fillId="14" borderId="13" xfId="0" applyFont="1" applyFill="1" applyBorder="1" applyAlignment="1">
      <alignment horizontal="center" vertical="center"/>
    </xf>
    <xf numFmtId="0" fontId="9" fillId="14" borderId="1" xfId="0" applyFont="1" applyFill="1" applyBorder="1" applyAlignment="1">
      <alignment horizontal="center" vertical="center"/>
    </xf>
    <xf numFmtId="0" fontId="0" fillId="8" borderId="1" xfId="0" applyNumberFormat="1" applyFill="1" applyBorder="1" applyAlignment="1">
      <alignment horizontal="center" vertical="center"/>
    </xf>
    <xf numFmtId="0" fontId="0" fillId="9" borderId="1" xfId="0" applyNumberFormat="1" applyFont="1" applyFill="1" applyBorder="1" applyAlignment="1">
      <alignment horizontal="center" vertical="center"/>
    </xf>
    <xf numFmtId="0" fontId="2" fillId="16" borderId="1" xfId="0" applyNumberFormat="1" applyFont="1" applyFill="1" applyBorder="1" applyAlignment="1">
      <alignment horizontal="center" vertical="center"/>
    </xf>
    <xf numFmtId="0" fontId="2" fillId="16" borderId="12" xfId="0" applyNumberFormat="1" applyFont="1" applyFill="1" applyBorder="1" applyAlignment="1">
      <alignment horizontal="center" vertical="center"/>
    </xf>
    <xf numFmtId="0" fontId="0" fillId="10" borderId="13" xfId="0" applyFont="1" applyFill="1" applyBorder="1" applyAlignment="1">
      <alignment horizontal="center" vertical="center"/>
    </xf>
    <xf numFmtId="0" fontId="0" fillId="10" borderId="12" xfId="0" applyFont="1" applyFill="1" applyBorder="1" applyAlignment="1">
      <alignment horizontal="center" vertical="center"/>
    </xf>
    <xf numFmtId="0" fontId="0" fillId="10" borderId="14" xfId="0" applyFont="1" applyFill="1" applyBorder="1" applyAlignment="1">
      <alignment horizontal="center" vertical="center"/>
    </xf>
    <xf numFmtId="0" fontId="9" fillId="7" borderId="13" xfId="0" applyNumberFormat="1" applyFont="1" applyFill="1" applyBorder="1" applyAlignment="1">
      <alignment horizontal="center" vertical="center"/>
    </xf>
    <xf numFmtId="0" fontId="2" fillId="7" borderId="1" xfId="0" applyNumberFormat="1" applyFont="1" applyFill="1" applyBorder="1" applyAlignment="1">
      <alignment horizontal="center" vertical="center"/>
    </xf>
    <xf numFmtId="0" fontId="0" fillId="8" borderId="1" xfId="0" applyNumberFormat="1" applyFont="1" applyFill="1" applyBorder="1" applyAlignment="1">
      <alignment horizontal="center" vertical="center"/>
    </xf>
    <xf numFmtId="0" fontId="1" fillId="10" borderId="14" xfId="0" applyFont="1" applyFill="1" applyBorder="1" applyAlignment="1">
      <alignment horizontal="center" vertical="center"/>
    </xf>
    <xf numFmtId="0" fontId="2" fillId="7" borderId="13" xfId="0" applyNumberFormat="1" applyFont="1" applyFill="1" applyBorder="1" applyAlignment="1">
      <alignment horizontal="center" vertical="center"/>
    </xf>
    <xf numFmtId="0" fontId="9" fillId="13" borderId="13" xfId="0" applyNumberFormat="1" applyFont="1" applyFill="1" applyBorder="1" applyAlignment="1">
      <alignment horizontal="center" vertical="center"/>
    </xf>
    <xf numFmtId="0" fontId="2" fillId="13" borderId="1" xfId="0" applyNumberFormat="1" applyFont="1" applyFill="1" applyBorder="1" applyAlignment="1">
      <alignment horizontal="center" vertical="center"/>
    </xf>
    <xf numFmtId="0" fontId="0" fillId="16" borderId="1" xfId="0" applyNumberFormat="1" applyFill="1" applyBorder="1" applyAlignment="1">
      <alignment horizontal="center" vertical="center"/>
    </xf>
    <xf numFmtId="0" fontId="0" fillId="10" borderId="13" xfId="0" applyFill="1" applyBorder="1" applyAlignment="1">
      <alignment horizontal="center" vertical="center"/>
    </xf>
    <xf numFmtId="0" fontId="0" fillId="13" borderId="13" xfId="0" applyNumberFormat="1" applyFont="1" applyFill="1" applyBorder="1" applyAlignment="1">
      <alignment horizontal="center" vertical="center"/>
    </xf>
    <xf numFmtId="0" fontId="9" fillId="13" borderId="1" xfId="0" applyNumberFormat="1" applyFont="1" applyFill="1" applyBorder="1" applyAlignment="1">
      <alignment horizontal="center" vertical="center"/>
    </xf>
    <xf numFmtId="0" fontId="8" fillId="13" borderId="1" xfId="0" applyNumberFormat="1" applyFont="1" applyFill="1" applyBorder="1" applyAlignment="1">
      <alignment horizontal="center" vertical="center"/>
    </xf>
    <xf numFmtId="0" fontId="0" fillId="16" borderId="1" xfId="0" applyNumberFormat="1" applyFont="1" applyFill="1" applyBorder="1" applyAlignment="1">
      <alignment horizontal="center" vertical="center"/>
    </xf>
    <xf numFmtId="0" fontId="0" fillId="16" borderId="12" xfId="0" applyNumberFormat="1" applyFont="1" applyFill="1" applyBorder="1" applyAlignment="1">
      <alignment horizontal="center" vertical="center"/>
    </xf>
    <xf numFmtId="0" fontId="9" fillId="7" borderId="1" xfId="0" applyNumberFormat="1" applyFont="1" applyFill="1" applyBorder="1" applyAlignment="1">
      <alignment horizontal="center" vertical="center"/>
    </xf>
    <xf numFmtId="0" fontId="12" fillId="13" borderId="12" xfId="0" applyNumberFormat="1" applyFont="1" applyFill="1" applyBorder="1" applyAlignment="1">
      <alignment horizontal="center" vertical="center"/>
    </xf>
    <xf numFmtId="0" fontId="10" fillId="15" borderId="1" xfId="0" applyNumberFormat="1" applyFont="1" applyFill="1" applyBorder="1" applyAlignment="1">
      <alignment horizontal="center" vertical="center"/>
    </xf>
    <xf numFmtId="0" fontId="10" fillId="8" borderId="1" xfId="0" applyNumberFormat="1" applyFont="1" applyFill="1" applyBorder="1" applyAlignment="1">
      <alignment horizontal="center" vertical="center"/>
    </xf>
    <xf numFmtId="0" fontId="11" fillId="8" borderId="1" xfId="0" applyNumberFormat="1" applyFont="1" applyFill="1" applyBorder="1" applyAlignment="1">
      <alignment horizontal="center" vertical="center"/>
    </xf>
    <xf numFmtId="0" fontId="0" fillId="9" borderId="1" xfId="0" applyNumberFormat="1" applyFill="1" applyBorder="1" applyAlignment="1">
      <alignment horizontal="center" vertical="center"/>
    </xf>
    <xf numFmtId="0" fontId="0" fillId="5" borderId="12" xfId="0" applyNumberFormat="1" applyFill="1" applyBorder="1" applyAlignment="1">
      <alignment horizontal="center" vertical="center"/>
    </xf>
    <xf numFmtId="0" fontId="2" fillId="13" borderId="12" xfId="0" applyNumberFormat="1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12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5" borderId="12" xfId="0" applyNumberFormat="1" applyFont="1" applyFill="1" applyBorder="1" applyAlignment="1">
      <alignment horizontal="center" vertical="center"/>
    </xf>
    <xf numFmtId="0" fontId="0" fillId="18" borderId="1" xfId="0" applyNumberFormat="1" applyFont="1" applyFill="1" applyBorder="1" applyAlignment="1">
      <alignment horizontal="center" vertical="center"/>
    </xf>
    <xf numFmtId="2" fontId="0" fillId="18" borderId="1" xfId="0" applyNumberFormat="1" applyFont="1" applyFill="1" applyBorder="1" applyAlignment="1">
      <alignment horizontal="center" vertical="center"/>
    </xf>
    <xf numFmtId="0" fontId="0" fillId="18" borderId="12" xfId="0" applyNumberFormat="1" applyFont="1" applyFill="1" applyBorder="1" applyAlignment="1">
      <alignment horizontal="center" vertical="center"/>
    </xf>
    <xf numFmtId="0" fontId="0" fillId="14" borderId="13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4" fillId="11" borderId="15" xfId="0" applyFont="1" applyFill="1" applyBorder="1" applyAlignment="1">
      <alignment horizontal="center" vertical="center" textRotation="45"/>
    </xf>
    <xf numFmtId="0" fontId="4" fillId="11" borderId="16" xfId="0" applyFont="1" applyFill="1" applyBorder="1" applyAlignment="1">
      <alignment horizontal="center" vertical="center" textRotation="45"/>
    </xf>
    <xf numFmtId="0" fontId="4" fillId="11" borderId="17" xfId="0" applyFont="1" applyFill="1" applyBorder="1" applyAlignment="1">
      <alignment horizontal="center" vertical="center" textRotation="45"/>
    </xf>
    <xf numFmtId="0" fontId="4" fillId="11" borderId="18" xfId="0" applyFont="1" applyFill="1" applyBorder="1" applyAlignment="1">
      <alignment horizontal="center" vertical="center" textRotation="45"/>
    </xf>
    <xf numFmtId="0" fontId="4" fillId="6" borderId="15" xfId="0" applyFont="1" applyFill="1" applyBorder="1" applyAlignment="1">
      <alignment horizontal="center" vertical="center" textRotation="45"/>
    </xf>
    <xf numFmtId="0" fontId="4" fillId="6" borderId="16" xfId="0" applyFont="1" applyFill="1" applyBorder="1" applyAlignment="1">
      <alignment horizontal="center" vertical="center" textRotation="45"/>
    </xf>
    <xf numFmtId="0" fontId="4" fillId="12" borderId="16" xfId="0" applyFont="1" applyFill="1" applyBorder="1" applyAlignment="1">
      <alignment horizontal="center" vertical="center" textRotation="45"/>
    </xf>
    <xf numFmtId="49" fontId="4" fillId="4" borderId="16" xfId="0" applyNumberFormat="1" applyFont="1" applyFill="1" applyBorder="1" applyAlignment="1">
      <alignment horizontal="center" vertical="center" textRotation="45"/>
    </xf>
    <xf numFmtId="49" fontId="4" fillId="4" borderId="18" xfId="0" applyNumberFormat="1" applyFont="1" applyFill="1" applyBorder="1" applyAlignment="1">
      <alignment horizontal="center" vertical="center" textRotation="45"/>
    </xf>
    <xf numFmtId="0" fontId="4" fillId="5" borderId="15" xfId="0" applyFont="1" applyFill="1" applyBorder="1" applyAlignment="1">
      <alignment horizontal="center" vertical="center" textRotation="45"/>
    </xf>
    <xf numFmtId="0" fontId="4" fillId="5" borderId="18" xfId="0" applyFont="1" applyFill="1" applyBorder="1" applyAlignment="1">
      <alignment horizontal="center" vertical="center" textRotation="45"/>
    </xf>
    <xf numFmtId="0" fontId="4" fillId="5" borderId="19" xfId="0" applyFont="1" applyFill="1" applyBorder="1" applyAlignment="1">
      <alignment horizontal="center" vertical="center" textRotation="45"/>
    </xf>
    <xf numFmtId="0" fontId="3" fillId="10" borderId="7" xfId="0" applyFont="1" applyFill="1" applyBorder="1"/>
    <xf numFmtId="0" fontId="0" fillId="10" borderId="1" xfId="0" applyFill="1" applyBorder="1"/>
    <xf numFmtId="0" fontId="3" fillId="10" borderId="20" xfId="0" applyFont="1" applyFill="1" applyBorder="1"/>
    <xf numFmtId="0" fontId="0" fillId="0" borderId="0" xfId="0" applyAlignment="1">
      <alignment wrapText="1"/>
    </xf>
    <xf numFmtId="0" fontId="0" fillId="0" borderId="0" xfId="0" applyFont="1" applyAlignment="1">
      <alignment wrapText="1"/>
    </xf>
    <xf numFmtId="0" fontId="2" fillId="13" borderId="6" xfId="0" applyFont="1" applyFill="1" applyBorder="1"/>
    <xf numFmtId="0" fontId="2" fillId="13" borderId="5" xfId="0" applyFont="1" applyFill="1" applyBorder="1"/>
    <xf numFmtId="0" fontId="2" fillId="19" borderId="5" xfId="0" applyFont="1" applyFill="1" applyBorder="1"/>
    <xf numFmtId="0" fontId="0" fillId="19" borderId="5" xfId="0" applyNumberFormat="1" applyFill="1" applyBorder="1"/>
    <xf numFmtId="0" fontId="0" fillId="19" borderId="5" xfId="0" applyFill="1" applyBorder="1"/>
    <xf numFmtId="0" fontId="0" fillId="19" borderId="1" xfId="0" applyFill="1" applyBorder="1"/>
    <xf numFmtId="0" fontId="2" fillId="16" borderId="5" xfId="0" applyFont="1" applyFill="1" applyBorder="1"/>
    <xf numFmtId="0" fontId="2" fillId="14" borderId="5" xfId="0" applyFont="1" applyFill="1" applyBorder="1"/>
    <xf numFmtId="0" fontId="2" fillId="13" borderId="22" xfId="0" applyFont="1" applyFill="1" applyBorder="1"/>
    <xf numFmtId="0" fontId="2" fillId="13" borderId="1" xfId="0" applyFont="1" applyFill="1" applyBorder="1"/>
    <xf numFmtId="0" fontId="2" fillId="19" borderId="1" xfId="0" applyFont="1" applyFill="1" applyBorder="1"/>
    <xf numFmtId="0" fontId="2" fillId="16" borderId="1" xfId="0" applyFont="1" applyFill="1" applyBorder="1"/>
    <xf numFmtId="0" fontId="2" fillId="14" borderId="1" xfId="0" applyFont="1" applyFill="1" applyBorder="1"/>
    <xf numFmtId="0" fontId="0" fillId="10" borderId="20" xfId="0" applyFont="1" applyFill="1" applyBorder="1"/>
    <xf numFmtId="0" fontId="13" fillId="11" borderId="23" xfId="0" applyFont="1" applyFill="1" applyBorder="1" applyAlignment="1">
      <alignment textRotation="45"/>
    </xf>
    <xf numFmtId="0" fontId="13" fillId="11" borderId="2" xfId="0" applyFont="1" applyFill="1" applyBorder="1" applyAlignment="1">
      <alignment textRotation="45"/>
    </xf>
    <xf numFmtId="0" fontId="13" fillId="20" borderId="2" xfId="0" applyFont="1" applyFill="1" applyBorder="1" applyAlignment="1">
      <alignment textRotation="45"/>
    </xf>
    <xf numFmtId="0" fontId="4" fillId="20" borderId="2" xfId="0" applyFont="1" applyFill="1" applyBorder="1" applyAlignment="1">
      <alignment textRotation="45"/>
    </xf>
    <xf numFmtId="0" fontId="13" fillId="4" borderId="2" xfId="0" applyFont="1" applyFill="1" applyBorder="1" applyAlignment="1">
      <alignment textRotation="45"/>
    </xf>
    <xf numFmtId="0" fontId="13" fillId="6" borderId="2" xfId="0" applyFont="1" applyFill="1" applyBorder="1" applyAlignment="1">
      <alignment textRotation="45"/>
    </xf>
    <xf numFmtId="0" fontId="14" fillId="0" borderId="0" xfId="0" applyFont="1" applyAlignment="1"/>
    <xf numFmtId="0" fontId="0" fillId="8" borderId="21" xfId="0" applyFont="1" applyFill="1" applyBorder="1"/>
    <xf numFmtId="0" fontId="0" fillId="3" borderId="21" xfId="0" applyFont="1" applyFill="1" applyBorder="1"/>
    <xf numFmtId="0" fontId="3" fillId="3" borderId="21" xfId="0" applyFont="1" applyFill="1" applyBorder="1"/>
    <xf numFmtId="0" fontId="4" fillId="12" borderId="1" xfId="0" applyFont="1" applyFill="1" applyBorder="1" applyAlignment="1">
      <alignment textRotation="45"/>
    </xf>
    <xf numFmtId="0" fontId="4" fillId="5" borderId="1" xfId="0" applyFont="1" applyFill="1" applyBorder="1" applyAlignment="1">
      <alignment textRotation="45"/>
    </xf>
    <xf numFmtId="9" fontId="0" fillId="3" borderId="5" xfId="1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textRotation="45"/>
    </xf>
    <xf numFmtId="0" fontId="4" fillId="5" borderId="3" xfId="0" applyFont="1" applyFill="1" applyBorder="1" applyAlignment="1">
      <alignment horizontal="center" vertical="center" textRotation="45"/>
    </xf>
    <xf numFmtId="0" fontId="0" fillId="13" borderId="1" xfId="0" applyNumberFormat="1" applyFill="1" applyBorder="1"/>
    <xf numFmtId="0" fontId="0" fillId="9" borderId="1" xfId="0" applyNumberFormat="1" applyFill="1" applyBorder="1"/>
    <xf numFmtId="0" fontId="0" fillId="9" borderId="1" xfId="0" applyFill="1" applyBorder="1"/>
    <xf numFmtId="0" fontId="3" fillId="10" borderId="20" xfId="0" applyFont="1" applyFill="1" applyBorder="1" applyAlignment="1">
      <alignment horizontal="left" indent="1"/>
    </xf>
    <xf numFmtId="0" fontId="0" fillId="7" borderId="1" xfId="0" applyNumberFormat="1" applyFill="1" applyBorder="1"/>
    <xf numFmtId="0" fontId="0" fillId="8" borderId="5" xfId="0" applyFill="1" applyBorder="1"/>
    <xf numFmtId="0" fontId="0" fillId="3" borderId="5" xfId="0" applyFill="1" applyBorder="1"/>
    <xf numFmtId="0" fontId="3" fillId="3" borderId="7" xfId="0" applyFont="1" applyFill="1" applyBorder="1"/>
    <xf numFmtId="0" fontId="0" fillId="8" borderId="1" xfId="0" applyFill="1" applyBorder="1"/>
    <xf numFmtId="0" fontId="8" fillId="0" borderId="0" xfId="0" applyFont="1" applyAlignment="1">
      <alignment wrapText="1"/>
    </xf>
  </cellXfs>
  <cellStyles count="2">
    <cellStyle name="Normal" xfId="0" builtinId="0"/>
    <cellStyle name="Percent" xfId="1" builtinId="5"/>
  </cellStyles>
  <dxfs count="1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i/>
      </font>
    </dxf>
    <dxf>
      <font>
        <i/>
      </font>
    </dxf>
    <dxf>
      <font>
        <i/>
      </font>
    </dxf>
    <dxf>
      <font>
        <i/>
      </font>
    </dxf>
    <dxf>
      <font>
        <i/>
      </font>
    </dxf>
    <dxf>
      <font>
        <i/>
      </font>
    </dxf>
    <dxf>
      <font>
        <i/>
        <strike val="0"/>
        <outline val="0"/>
        <shadow val="0"/>
        <u val="none"/>
        <vertAlign val="baseline"/>
        <sz val="11"/>
        <color rgb="FF0070C0"/>
        <name val="Calibri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i/>
        <strike val="0"/>
        <outline val="0"/>
        <shadow val="0"/>
        <u val="none"/>
        <vertAlign val="baseline"/>
        <sz val="11"/>
        <color rgb="FF0070C0"/>
        <name val="Calibri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i/>
        <strike val="0"/>
        <outline val="0"/>
        <shadow val="0"/>
        <u val="none"/>
        <vertAlign val="baseline"/>
        <sz val="11"/>
        <color rgb="FF0070C0"/>
        <name val="Calibri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i/>
        <strike val="0"/>
        <outline val="0"/>
        <shadow val="0"/>
        <u val="none"/>
        <vertAlign val="baseline"/>
        <sz val="11"/>
        <color rgb="FF0070C0"/>
        <name val="Calibri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i/>
        <strike val="0"/>
        <outline val="0"/>
        <shadow val="0"/>
        <u val="none"/>
        <vertAlign val="baseline"/>
        <sz val="11"/>
        <color rgb="FF0070C0"/>
        <name val="Calibri"/>
        <scheme val="minor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i/>
        <strike val="0"/>
        <outline val="0"/>
        <shadow val="0"/>
        <u val="none"/>
        <vertAlign val="baseline"/>
        <sz val="11"/>
        <color rgb="FF0070C0"/>
        <name val="Calibri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i/>
        <strike val="0"/>
        <outline val="0"/>
        <shadow val="0"/>
        <u val="none"/>
        <vertAlign val="baseline"/>
        <sz val="11"/>
        <color rgb="FF0070C0"/>
        <name val="Calibri"/>
        <scheme val="minor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i/>
        <strike val="0"/>
        <outline val="0"/>
        <shadow val="0"/>
        <u val="none"/>
        <vertAlign val="baseline"/>
        <sz val="11"/>
        <color rgb="FF0070C0"/>
        <name val="Calibri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i/>
        <strike val="0"/>
        <outline val="0"/>
        <shadow val="0"/>
        <u val="none"/>
        <vertAlign val="baseline"/>
        <sz val="11"/>
        <color rgb="FF0070C0"/>
        <name val="Calibri"/>
        <scheme val="minor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i/>
        <strike val="0"/>
        <outline val="0"/>
        <shadow val="0"/>
        <u val="none"/>
        <vertAlign val="baseline"/>
        <sz val="11"/>
        <color rgb="FF0070C0"/>
        <name val="Calibri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i/>
        <strike val="0"/>
        <outline val="0"/>
        <shadow val="0"/>
        <u val="none"/>
        <vertAlign val="baseline"/>
        <sz val="11"/>
        <color rgb="FF0070C0"/>
        <name val="Calibri"/>
        <scheme val="minor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/>
        <right style="thin">
          <color auto="1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general" vertical="bottom" textRotation="45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70C0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rgb="FFFF0000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i/>
        <strike val="0"/>
        <outline val="0"/>
        <shadow val="0"/>
        <u val="none"/>
        <vertAlign val="baseline"/>
        <sz val="11"/>
        <color rgb="FF0070C0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i/>
        <strike val="0"/>
        <outline val="0"/>
        <shadow val="0"/>
        <u val="none"/>
        <vertAlign val="baseline"/>
        <sz val="11"/>
        <color rgb="FF0070C0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i/>
        <strike val="0"/>
        <outline val="0"/>
        <shadow val="0"/>
        <u val="none"/>
        <vertAlign val="baseline"/>
        <sz val="11"/>
        <color rgb="FF0070C0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59999389629810485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numFmt numFmtId="0" formatCode="General"/>
      <fill>
        <patternFill patternType="solid">
          <fgColor indexed="64"/>
          <bgColor theme="1" tint="0.249977111117893"/>
        </patternFill>
      </fill>
      <alignment horizontal="center" vertical="center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numFmt numFmtId="0" formatCode="General"/>
      <fill>
        <patternFill patternType="solid">
          <fgColor indexed="64"/>
          <bgColor theme="1" tint="0.249977111117893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 tint="-4.9989318521683403E-2"/>
      </font>
      <numFmt numFmtId="2" formatCode="0.00"/>
      <fill>
        <patternFill patternType="solid">
          <fgColor indexed="64"/>
          <bgColor theme="1" tint="0.249977111117893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0" tint="-0.249977111117893"/>
        </patternFill>
      </fill>
      <alignment horizontal="center" vertical="center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alignment horizontal="center" vertical="center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wrapText="0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45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center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45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general" vertical="bottom" textRotation="45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rgb="FFFF0000"/>
        <name val="Calibri"/>
        <scheme val="minor"/>
      </font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rgb="FFFF0000"/>
        <name val="Calibri"/>
        <scheme val="minor"/>
      </font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rgb="FFFF0000"/>
        <name val="Calibri"/>
        <scheme val="minor"/>
      </font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color rgb="FFFF0000"/>
        <name val="Calibri"/>
        <scheme val="minor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rgb="FFFF0000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entityDefinitions" displayName="entityDefinitions" ref="A22:AE112" totalsRowShown="0" headerRowDxfId="74" dataDxfId="72" headerRowBorderDxfId="73" tableBorderDxfId="71" totalsRowBorderDxfId="70">
  <autoFilter ref="A22:AE112"/>
  <sortState ref="A23:AE109">
    <sortCondition ref="B22:B109"/>
  </sortState>
  <tableColumns count="31">
    <tableColumn id="1" name="{entityDefinitions}" dataDxfId="69"/>
    <tableColumn id="2" name="[sku]" dataDxfId="68"/>
    <tableColumn id="6" name="[category]" dataDxfId="67"/>
    <tableColumn id="10" name="[rewardScore]" dataDxfId="66"/>
    <tableColumn id="11" name="[rewardCoins]" dataDxfId="65"/>
    <tableColumn id="12" name="[rewardPC]" dataDxfId="64"/>
    <tableColumn id="13" name="[rewardHealth]" dataDxfId="63"/>
    <tableColumn id="14" name="[rewardEnergy]" dataDxfId="62"/>
    <tableColumn id="16" name="[rewardXp]" dataDxfId="61"/>
    <tableColumn id="17" name="[goldenChance]" dataDxfId="60"/>
    <tableColumn id="18" name="[pcChance]" dataDxfId="59"/>
    <tableColumn id="3" name="[isEdible]" dataDxfId="58"/>
    <tableColumn id="15" name="[latchOnFromTier]" dataDxfId="57"/>
    <tableColumn id="31" name="[grabFromTier]" dataDxfId="56"/>
    <tableColumn id="4" name="[edibleFromTier]" dataDxfId="55"/>
    <tableColumn id="34" name="[burnableFromTier]" dataDxfId="54"/>
    <tableColumn id="35" name="[isBurnable]" dataDxfId="53"/>
    <tableColumn id="30" name="[canBeGrabed]" dataDxfId="52"/>
    <tableColumn id="29" name="[canBeLatchedOn]" dataDxfId="51"/>
    <tableColumn id="28" name="[maxHealth]" dataDxfId="50"/>
    <tableColumn id="5" name="[biteResistance]" dataDxfId="49"/>
    <tableColumn id="8" name="[alcohol]" dataDxfId="48"/>
    <tableColumn id="19" name="[eatFeedbackChance]" dataDxfId="47"/>
    <tableColumn id="20" name="[burnFeedbackChance]" dataDxfId="46"/>
    <tableColumn id="21" name="[damageFeedbackChance]" dataDxfId="45"/>
    <tableColumn id="22" name="[deathFeedbackChance]" dataDxfId="44"/>
    <tableColumn id="7" name="[tidName]" dataDxfId="43"/>
    <tableColumn id="9" name="[tidEatFeedback]" dataDxfId="42"/>
    <tableColumn id="23" name="[tidBurnFeedback]" dataDxfId="41"/>
    <tableColumn id="24" name="[tidDamageFeedback]" dataDxfId="40"/>
    <tableColumn id="25" name="[tidDeathFeedback]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entityCategoryDefinitions" displayName="entityCategoryDefinitions" ref="A4:B17" totalsRowShown="0" headerRowDxfId="38" headerRowBorderDxfId="37" tableBorderDxfId="36" totalsRowBorderDxfId="35">
  <autoFilter ref="A4:B17"/>
  <sortState ref="A5:B14">
    <sortCondition ref="B4:B14"/>
  </sortState>
  <tableColumns count="2">
    <tableColumn id="1" name="{entityCategoryDefinitions}" dataDxfId="34"/>
    <tableColumn id="2" name="[sku]" dataDxfId="3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4" displayName="Table4" ref="A116:O127" totalsRowShown="0">
  <autoFilter ref="A116:O127"/>
  <sortState ref="A51:L77">
    <sortCondition ref="C50:C77"/>
  </sortState>
  <tableColumns count="15">
    <tableColumn id="1" name="{decorationDefinitions}" dataDxfId="32" totalsRowDxfId="31"/>
    <tableColumn id="2" name="[sku]" dataDxfId="30" totalsRowDxfId="29"/>
    <tableColumn id="4" name="[category]" dataDxfId="28" totalsRowDxfId="27"/>
    <tableColumn id="16" name="[size]" dataDxfId="26" totalsRowDxfId="25"/>
    <tableColumn id="5" name="[minTierDisintegrate]" dataDxfId="24" totalsRowDxfId="23"/>
    <tableColumn id="17" name="[minTierBurnFeedback]" dataDxfId="22" totalsRowDxfId="21"/>
    <tableColumn id="18" name="[minTierBurn]" dataDxfId="20" totalsRowDxfId="19"/>
    <tableColumn id="28" name="[burnFeedbackChance]" dataDxfId="18" totalsRowDxfId="17"/>
    <tableColumn id="30" name="[destroyFeedbackChance]" dataDxfId="16" totalsRowDxfId="15"/>
    <tableColumn id="11" name="[minTierDestruction]" dataDxfId="14" totalsRowDxfId="13"/>
    <tableColumn id="10" name="[minTierDestructionFeedback]" dataDxfId="12" totalsRowDxfId="11"/>
    <tableColumn id="6" name="[rewardScore]" dataDxfId="10" totalsRowDxfId="9"/>
    <tableColumn id="31" name="[tidName]" dataDxfId="8" totalsRowDxfId="7"/>
    <tableColumn id="33" name="[tidBurnFeedback]" dataDxfId="6" totalsRowDxfId="5"/>
    <tableColumn id="34" name="[tidDestroyFeedback]" dataDxfId="4" totalsRowDxfId="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levelDefinitions" displayName="levelDefinitions" ref="A4:Y7" totalsRowShown="0" headerRowDxfId="121" headerRowBorderDxfId="120" tableBorderDxfId="119" totalsRowBorderDxfId="118">
  <autoFilter ref="A4:Y7"/>
  <tableColumns count="25">
    <tableColumn id="1" name="{levelDefinitions}" dataDxfId="117"/>
    <tableColumn id="9" name="[sku]" dataDxfId="116"/>
    <tableColumn id="3" name="order" dataDxfId="115"/>
    <tableColumn id="4" name="dragonsToUnlock" dataDxfId="114"/>
    <tableColumn id="14" name="[dataFile]" dataDxfId="113"/>
    <tableColumn id="5" name="[common]" dataDxfId="112"/>
    <tableColumn id="2" name="[area1]" dataDxfId="111"/>
    <tableColumn id="10" name="[area1Active]" dataDxfId="110"/>
    <tableColumn id="22" name="[area2]" dataDxfId="109"/>
    <tableColumn id="23" name="[area3]" dataDxfId="108"/>
    <tableColumn id="7" name="[dragon_baby]" dataDxfId="107"/>
    <tableColumn id="8" name="[dragon_crocodile]" dataDxfId="106"/>
    <tableColumn id="13" name="[dragon_fat]" dataDxfId="105"/>
    <tableColumn id="15" name="[dragon_reptile]" dataDxfId="104"/>
    <tableColumn id="16" name="[dragon_chinese]" dataDxfId="103"/>
    <tableColumn id="17" name="[dragon_bug]" dataDxfId="102"/>
    <tableColumn id="18" name="[dragon_classic]" dataDxfId="101"/>
    <tableColumn id="19" name="[dragon_balrog]" dataDxfId="100"/>
    <tableColumn id="20" name="[dragon_devil]" dataDxfId="99"/>
    <tableColumn id="21" name="[dragon_titan]" dataDxfId="98"/>
    <tableColumn id="25" name="[levelEditor]"/>
    <tableColumn id="24" name="[gameplayWip]"/>
    <tableColumn id="6" name="comingSoon" dataDxfId="97"/>
    <tableColumn id="11" name="tidName" dataDxfId="96"/>
    <tableColumn id="12" name="tidDesc" dataDxfId="95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id="5" name="scoreMultiplierDefinitions" displayName="scoreMultiplierDefinitions" ref="B4:H29" totalsRowShown="0" headerRowDxfId="94" headerRowBorderDxfId="93" tableBorderDxfId="92" totalsRowBorderDxfId="91">
  <autoFilter ref="B4:H29"/>
  <tableColumns count="7">
    <tableColumn id="1" name="{scoreMultiplierDefinitions}" dataDxfId="90"/>
    <tableColumn id="2" name="[sku]" dataDxfId="89"/>
    <tableColumn id="6" name="[order]" dataDxfId="88"/>
    <tableColumn id="3" name="[multiplier]" dataDxfId="87"/>
    <tableColumn id="4" name="[requiredKillStreak]" dataDxfId="86"/>
    <tableColumn id="5" name="[duration]" dataDxfId="85"/>
    <tableColumn id="7" name="[tidMessage]" dataDxfId="8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scoreMultiplierDefinitions1928" displayName="scoreMultiplierDefinitions1928" ref="B35:E45" totalsRowShown="0" headerRowDxfId="83" dataDxfId="81" headerRowBorderDxfId="82" tableBorderDxfId="80" totalsRowBorderDxfId="79">
  <autoFilter ref="B35:E45"/>
  <tableColumns count="4">
    <tableColumn id="1" name="{survivalBonusDefinitions}" dataDxfId="78"/>
    <tableColumn id="2" name="[sku]" dataDxfId="77"/>
    <tableColumn id="5" name="[survivedMinutes]" dataDxfId="76"/>
    <tableColumn id="6" name="[bonusPerMinute]" dataDxfId="75" dataCellStyle="Perc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AE144"/>
  <sheetViews>
    <sheetView topLeftCell="A10" zoomScaleNormal="100" workbookViewId="0">
      <pane xSplit="2" topLeftCell="C1" activePane="topRight" state="frozen"/>
      <selection activeCell="A22" sqref="A22"/>
      <selection pane="topRight" activeCell="A35" sqref="A35"/>
    </sheetView>
  </sheetViews>
  <sheetFormatPr defaultColWidth="43" defaultRowHeight="15" x14ac:dyDescent="0.25"/>
  <cols>
    <col min="28" max="28" width="162.85546875" bestFit="1" customWidth="1"/>
  </cols>
  <sheetData>
    <row r="1" spans="1:24" ht="15.75" thickBot="1" x14ac:dyDescent="0.3"/>
    <row r="2" spans="1:24" ht="23.25" x14ac:dyDescent="0.35">
      <c r="A2" s="9" t="s">
        <v>404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</row>
    <row r="3" spans="1:24" ht="45" x14ac:dyDescent="0.25">
      <c r="A3" s="173" t="s">
        <v>403</v>
      </c>
      <c r="B3" s="23"/>
      <c r="C3" s="23"/>
      <c r="D3" s="23"/>
      <c r="E3" s="214"/>
      <c r="F3" s="214"/>
      <c r="G3" s="23"/>
      <c r="H3" s="22"/>
      <c r="I3" s="172"/>
    </row>
    <row r="4" spans="1:24" ht="134.25" x14ac:dyDescent="0.25">
      <c r="A4" s="7" t="s">
        <v>402</v>
      </c>
      <c r="B4" s="6" t="s">
        <v>17</v>
      </c>
    </row>
    <row r="5" spans="1:24" x14ac:dyDescent="0.25">
      <c r="A5" s="169" t="s">
        <v>2</v>
      </c>
      <c r="B5" s="170" t="s">
        <v>84</v>
      </c>
    </row>
    <row r="6" spans="1:24" x14ac:dyDescent="0.25">
      <c r="A6" s="169" t="s">
        <v>2</v>
      </c>
      <c r="B6" s="170" t="s">
        <v>27</v>
      </c>
    </row>
    <row r="7" spans="1:24" x14ac:dyDescent="0.25">
      <c r="A7" s="169" t="s">
        <v>2</v>
      </c>
      <c r="B7" s="170" t="s">
        <v>61</v>
      </c>
    </row>
    <row r="8" spans="1:24" x14ac:dyDescent="0.25">
      <c r="A8" s="169" t="s">
        <v>2</v>
      </c>
      <c r="B8" s="170" t="s">
        <v>38</v>
      </c>
    </row>
    <row r="9" spans="1:24" x14ac:dyDescent="0.25">
      <c r="A9" s="169" t="s">
        <v>2</v>
      </c>
      <c r="B9" s="170" t="s">
        <v>288</v>
      </c>
    </row>
    <row r="10" spans="1:24" x14ac:dyDescent="0.25">
      <c r="A10" s="169" t="s">
        <v>2</v>
      </c>
      <c r="B10" s="170" t="s">
        <v>90</v>
      </c>
    </row>
    <row r="11" spans="1:24" x14ac:dyDescent="0.25">
      <c r="A11" s="169" t="s">
        <v>2</v>
      </c>
      <c r="B11" s="16" t="s">
        <v>24</v>
      </c>
    </row>
    <row r="12" spans="1:24" x14ac:dyDescent="0.25">
      <c r="A12" s="169" t="s">
        <v>2</v>
      </c>
      <c r="B12" s="170" t="s">
        <v>401</v>
      </c>
    </row>
    <row r="13" spans="1:24" x14ac:dyDescent="0.25">
      <c r="A13" s="171" t="s">
        <v>2</v>
      </c>
      <c r="B13" s="170" t="s">
        <v>400</v>
      </c>
    </row>
    <row r="14" spans="1:24" x14ac:dyDescent="0.25">
      <c r="A14" s="169" t="s">
        <v>2</v>
      </c>
      <c r="B14" s="16" t="s">
        <v>35</v>
      </c>
    </row>
    <row r="15" spans="1:24" x14ac:dyDescent="0.25">
      <c r="A15" s="169" t="s">
        <v>2</v>
      </c>
      <c r="B15" s="16" t="s">
        <v>68</v>
      </c>
    </row>
    <row r="16" spans="1:24" x14ac:dyDescent="0.25">
      <c r="A16" s="169" t="s">
        <v>2</v>
      </c>
      <c r="B16" s="16" t="s">
        <v>66</v>
      </c>
    </row>
    <row r="17" spans="1:31" x14ac:dyDescent="0.25">
      <c r="A17" s="169" t="s">
        <v>2</v>
      </c>
      <c r="B17" s="16" t="s">
        <v>242</v>
      </c>
    </row>
    <row r="19" spans="1:31" ht="15.75" thickBot="1" x14ac:dyDescent="0.3"/>
    <row r="20" spans="1:31" ht="23.25" x14ac:dyDescent="0.35">
      <c r="A20" s="9" t="s">
        <v>399</v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1:31" s="18" customFormat="1" ht="15.75" thickBot="1" x14ac:dyDescent="0.3">
      <c r="A21" s="23"/>
      <c r="B21" s="22" t="s">
        <v>398</v>
      </c>
      <c r="C21" s="22"/>
      <c r="D21" s="23"/>
      <c r="E21" s="214"/>
      <c r="F21" s="214"/>
      <c r="G21" s="23"/>
      <c r="H21" s="22"/>
      <c r="I21" s="23"/>
      <c r="N21" s="18" t="s">
        <v>397</v>
      </c>
      <c r="Q21" s="18" t="s">
        <v>56</v>
      </c>
      <c r="X21" s="22" t="s">
        <v>55</v>
      </c>
      <c r="Y21" s="22"/>
      <c r="Z21" s="22"/>
      <c r="AA21" s="22"/>
    </row>
    <row r="22" spans="1:31" ht="126" x14ac:dyDescent="0.25">
      <c r="A22" s="168" t="s">
        <v>396</v>
      </c>
      <c r="B22" s="167" t="s">
        <v>17</v>
      </c>
      <c r="C22" s="166" t="s">
        <v>53</v>
      </c>
      <c r="D22" s="165" t="s">
        <v>44</v>
      </c>
      <c r="E22" s="164" t="s">
        <v>395</v>
      </c>
      <c r="F22" s="164" t="s">
        <v>394</v>
      </c>
      <c r="G22" s="164" t="s">
        <v>393</v>
      </c>
      <c r="H22" s="164" t="s">
        <v>392</v>
      </c>
      <c r="I22" s="164" t="s">
        <v>391</v>
      </c>
      <c r="J22" s="164" t="s">
        <v>390</v>
      </c>
      <c r="K22" s="164" t="s">
        <v>389</v>
      </c>
      <c r="L22" s="163" t="s">
        <v>388</v>
      </c>
      <c r="M22" s="163" t="s">
        <v>387</v>
      </c>
      <c r="N22" s="163" t="s">
        <v>386</v>
      </c>
      <c r="O22" s="163" t="s">
        <v>385</v>
      </c>
      <c r="P22" s="163" t="s">
        <v>384</v>
      </c>
      <c r="Q22" s="163" t="s">
        <v>383</v>
      </c>
      <c r="R22" s="163" t="s">
        <v>382</v>
      </c>
      <c r="S22" s="163" t="s">
        <v>381</v>
      </c>
      <c r="T22" s="163" t="s">
        <v>380</v>
      </c>
      <c r="U22" s="163" t="s">
        <v>379</v>
      </c>
      <c r="V22" s="163" t="s">
        <v>378</v>
      </c>
      <c r="W22" s="162" t="s">
        <v>377</v>
      </c>
      <c r="X22" s="162" t="s">
        <v>48</v>
      </c>
      <c r="Y22" s="162" t="s">
        <v>376</v>
      </c>
      <c r="Z22" s="161" t="s">
        <v>375</v>
      </c>
      <c r="AA22" s="160" t="s">
        <v>43</v>
      </c>
      <c r="AB22" s="159" t="s">
        <v>374</v>
      </c>
      <c r="AC22" s="158" t="s">
        <v>42</v>
      </c>
      <c r="AD22" s="158" t="s">
        <v>373</v>
      </c>
      <c r="AE22" s="157" t="s">
        <v>372</v>
      </c>
    </row>
    <row r="23" spans="1:31" x14ac:dyDescent="0.25">
      <c r="A23" s="111" t="s">
        <v>2</v>
      </c>
      <c r="B23" s="110" t="s">
        <v>371</v>
      </c>
      <c r="C23" s="109" t="s">
        <v>90</v>
      </c>
      <c r="D23" s="108">
        <v>60</v>
      </c>
      <c r="E23" s="107">
        <v>2</v>
      </c>
      <c r="F23" s="107">
        <v>0</v>
      </c>
      <c r="G23" s="107">
        <v>20</v>
      </c>
      <c r="H23" s="107">
        <v>0</v>
      </c>
      <c r="I23" s="107">
        <v>75</v>
      </c>
      <c r="J23" s="91">
        <v>0.22499999999999998</v>
      </c>
      <c r="K23" s="107">
        <v>0</v>
      </c>
      <c r="L23" s="58" t="b">
        <v>1</v>
      </c>
      <c r="M23" s="59">
        <v>5</v>
      </c>
      <c r="N23" s="59">
        <v>0</v>
      </c>
      <c r="O23" s="58">
        <v>1</v>
      </c>
      <c r="P23" s="59">
        <v>0</v>
      </c>
      <c r="Q23" s="58" t="b">
        <v>1</v>
      </c>
      <c r="R23" s="58" t="b">
        <v>1</v>
      </c>
      <c r="S23" s="58" t="b">
        <v>0</v>
      </c>
      <c r="T23" s="58">
        <v>75</v>
      </c>
      <c r="U23" s="58">
        <v>7</v>
      </c>
      <c r="V23" s="58">
        <v>0</v>
      </c>
      <c r="W23" s="90">
        <v>0.25</v>
      </c>
      <c r="X23" s="90">
        <v>0.25</v>
      </c>
      <c r="Y23" s="90">
        <v>1</v>
      </c>
      <c r="Z23" s="106">
        <v>0</v>
      </c>
      <c r="AA23" s="112" t="s">
        <v>370</v>
      </c>
      <c r="AB23" s="104" t="s">
        <v>369</v>
      </c>
      <c r="AC23" s="104" t="s">
        <v>368</v>
      </c>
      <c r="AD23" s="104" t="s">
        <v>367</v>
      </c>
      <c r="AE23" s="104" t="s">
        <v>366</v>
      </c>
    </row>
    <row r="24" spans="1:31" x14ac:dyDescent="0.25">
      <c r="A24" s="111" t="s">
        <v>2</v>
      </c>
      <c r="B24" s="110" t="s">
        <v>365</v>
      </c>
      <c r="C24" s="109" t="s">
        <v>90</v>
      </c>
      <c r="D24" s="108">
        <v>60</v>
      </c>
      <c r="E24" s="107">
        <v>2</v>
      </c>
      <c r="F24" s="107">
        <v>0</v>
      </c>
      <c r="G24" s="107">
        <v>20</v>
      </c>
      <c r="H24" s="107">
        <v>0</v>
      </c>
      <c r="I24" s="107">
        <v>75</v>
      </c>
      <c r="J24" s="91">
        <v>0.22499999999999998</v>
      </c>
      <c r="K24" s="107">
        <v>0</v>
      </c>
      <c r="L24" s="58" t="b">
        <v>1</v>
      </c>
      <c r="M24" s="59">
        <v>5</v>
      </c>
      <c r="N24" s="59">
        <v>0</v>
      </c>
      <c r="O24" s="58">
        <v>1</v>
      </c>
      <c r="P24" s="59">
        <v>0</v>
      </c>
      <c r="Q24" s="58" t="b">
        <v>1</v>
      </c>
      <c r="R24" s="58" t="b">
        <v>1</v>
      </c>
      <c r="S24" s="58" t="b">
        <v>0</v>
      </c>
      <c r="T24" s="58">
        <v>75</v>
      </c>
      <c r="U24" s="58">
        <v>7</v>
      </c>
      <c r="V24" s="58">
        <v>0</v>
      </c>
      <c r="W24" s="90">
        <v>0.25</v>
      </c>
      <c r="X24" s="90">
        <v>0.25</v>
      </c>
      <c r="Y24" s="90">
        <v>1</v>
      </c>
      <c r="Z24" s="106">
        <v>0</v>
      </c>
      <c r="AA24" s="112" t="s">
        <v>364</v>
      </c>
      <c r="AB24" s="104" t="s">
        <v>363</v>
      </c>
      <c r="AC24" s="104" t="s">
        <v>362</v>
      </c>
      <c r="AD24" s="104" t="s">
        <v>361</v>
      </c>
      <c r="AE24" s="104" t="s">
        <v>360</v>
      </c>
    </row>
    <row r="25" spans="1:31" x14ac:dyDescent="0.25">
      <c r="A25" s="111" t="s">
        <v>2</v>
      </c>
      <c r="B25" s="110" t="s">
        <v>359</v>
      </c>
      <c r="C25" s="109" t="s">
        <v>90</v>
      </c>
      <c r="D25" s="108">
        <v>60</v>
      </c>
      <c r="E25" s="107">
        <v>4</v>
      </c>
      <c r="F25" s="107">
        <v>0</v>
      </c>
      <c r="G25" s="107">
        <v>50</v>
      </c>
      <c r="H25" s="107">
        <v>0</v>
      </c>
      <c r="I25" s="107">
        <v>55</v>
      </c>
      <c r="J25" s="91">
        <v>0.15</v>
      </c>
      <c r="K25" s="107">
        <v>0</v>
      </c>
      <c r="L25" s="58" t="b">
        <v>1</v>
      </c>
      <c r="M25" s="59">
        <v>5</v>
      </c>
      <c r="N25" s="59">
        <v>1</v>
      </c>
      <c r="O25" s="58">
        <v>2</v>
      </c>
      <c r="P25" s="59">
        <v>1</v>
      </c>
      <c r="Q25" s="58" t="b">
        <v>1</v>
      </c>
      <c r="R25" s="58" t="b">
        <v>1</v>
      </c>
      <c r="S25" s="58" t="b">
        <v>0</v>
      </c>
      <c r="T25" s="58">
        <v>85</v>
      </c>
      <c r="U25" s="58">
        <v>9</v>
      </c>
      <c r="V25" s="58">
        <v>0</v>
      </c>
      <c r="W25" s="90">
        <v>0.25</v>
      </c>
      <c r="X25" s="90">
        <v>0.25</v>
      </c>
      <c r="Y25" s="90">
        <v>0.5</v>
      </c>
      <c r="Z25" s="106">
        <v>0</v>
      </c>
      <c r="AA25" s="105" t="s">
        <v>358</v>
      </c>
      <c r="AB25" s="104" t="s">
        <v>357</v>
      </c>
      <c r="AC25" s="104" t="s">
        <v>153</v>
      </c>
      <c r="AD25" s="104" t="s">
        <v>134</v>
      </c>
      <c r="AE25" s="104" t="s">
        <v>133</v>
      </c>
    </row>
    <row r="26" spans="1:31" s="83" customFormat="1" x14ac:dyDescent="0.25">
      <c r="A26" s="123" t="s">
        <v>2</v>
      </c>
      <c r="B26" s="82" t="s">
        <v>356</v>
      </c>
      <c r="C26" s="132" t="s">
        <v>84</v>
      </c>
      <c r="D26" s="102">
        <v>20</v>
      </c>
      <c r="E26" s="131">
        <v>2</v>
      </c>
      <c r="F26" s="131">
        <v>0</v>
      </c>
      <c r="G26" s="131">
        <v>-10</v>
      </c>
      <c r="H26" s="131">
        <v>0</v>
      </c>
      <c r="I26" s="131">
        <v>25</v>
      </c>
      <c r="J26" s="72">
        <v>0</v>
      </c>
      <c r="K26" s="131">
        <v>0</v>
      </c>
      <c r="L26" s="78" t="b">
        <v>1</v>
      </c>
      <c r="M26" s="81">
        <v>5</v>
      </c>
      <c r="N26" s="81">
        <v>5</v>
      </c>
      <c r="O26" s="78">
        <v>0</v>
      </c>
      <c r="P26" s="81">
        <f>entityDefinitions[[#This Row],['[edibleFromTier']]]</f>
        <v>0</v>
      </c>
      <c r="Q26" s="58" t="b">
        <v>1</v>
      </c>
      <c r="R26" s="78" t="b">
        <v>0</v>
      </c>
      <c r="S26" s="78" t="b">
        <v>0</v>
      </c>
      <c r="T26" s="78">
        <v>1</v>
      </c>
      <c r="U26" s="78">
        <v>2</v>
      </c>
      <c r="V26" s="78">
        <v>0</v>
      </c>
      <c r="W26" s="93">
        <v>1</v>
      </c>
      <c r="X26" s="93">
        <v>1</v>
      </c>
      <c r="Y26" s="93">
        <v>0</v>
      </c>
      <c r="Z26" s="115">
        <v>0</v>
      </c>
      <c r="AA26" s="114" t="s">
        <v>355</v>
      </c>
      <c r="AB26" s="113" t="s">
        <v>354</v>
      </c>
      <c r="AC26" s="113" t="s">
        <v>140</v>
      </c>
      <c r="AD26" s="130"/>
      <c r="AE26" s="134"/>
    </row>
    <row r="27" spans="1:31" x14ac:dyDescent="0.25">
      <c r="A27" s="111" t="s">
        <v>2</v>
      </c>
      <c r="B27" s="110" t="s">
        <v>353</v>
      </c>
      <c r="C27" s="109" t="s">
        <v>66</v>
      </c>
      <c r="D27" s="108">
        <v>40</v>
      </c>
      <c r="E27" s="107">
        <v>2</v>
      </c>
      <c r="F27" s="107">
        <v>0</v>
      </c>
      <c r="G27" s="107">
        <v>20</v>
      </c>
      <c r="H27" s="107">
        <v>0</v>
      </c>
      <c r="I27" s="107">
        <v>50</v>
      </c>
      <c r="J27" s="91">
        <v>0.15</v>
      </c>
      <c r="K27" s="107">
        <v>0</v>
      </c>
      <c r="L27" s="58" t="b">
        <v>1</v>
      </c>
      <c r="M27" s="59">
        <v>5</v>
      </c>
      <c r="N27" s="59">
        <v>0</v>
      </c>
      <c r="O27" s="58">
        <v>1</v>
      </c>
      <c r="P27" s="59">
        <v>0</v>
      </c>
      <c r="Q27" s="58" t="b">
        <v>1</v>
      </c>
      <c r="R27" s="58" t="b">
        <v>1</v>
      </c>
      <c r="S27" s="58" t="b">
        <v>0</v>
      </c>
      <c r="T27" s="58">
        <v>75</v>
      </c>
      <c r="U27" s="58">
        <v>7</v>
      </c>
      <c r="V27" s="58">
        <v>0</v>
      </c>
      <c r="W27" s="90">
        <v>0.25</v>
      </c>
      <c r="X27" s="90">
        <v>0.25</v>
      </c>
      <c r="Y27" s="90">
        <v>1</v>
      </c>
      <c r="Z27" s="106">
        <v>0</v>
      </c>
      <c r="AA27" s="101" t="s">
        <v>79</v>
      </c>
      <c r="AB27" s="113" t="s">
        <v>78</v>
      </c>
      <c r="AC27" s="113" t="s">
        <v>77</v>
      </c>
      <c r="AD27" s="113" t="s">
        <v>76</v>
      </c>
      <c r="AE27" s="113" t="s">
        <v>75</v>
      </c>
    </row>
    <row r="28" spans="1:31" s="83" customFormat="1" x14ac:dyDescent="0.25">
      <c r="A28" s="111" t="s">
        <v>2</v>
      </c>
      <c r="B28" s="110" t="s">
        <v>352</v>
      </c>
      <c r="C28" s="109" t="s">
        <v>90</v>
      </c>
      <c r="D28" s="108">
        <v>40</v>
      </c>
      <c r="E28" s="107">
        <v>2</v>
      </c>
      <c r="F28" s="107">
        <v>0</v>
      </c>
      <c r="G28" s="107">
        <v>20</v>
      </c>
      <c r="H28" s="107">
        <v>0</v>
      </c>
      <c r="I28" s="107">
        <v>50</v>
      </c>
      <c r="J28" s="91">
        <v>0.15</v>
      </c>
      <c r="K28" s="107">
        <v>0</v>
      </c>
      <c r="L28" s="58" t="b">
        <v>1</v>
      </c>
      <c r="M28" s="59">
        <v>5</v>
      </c>
      <c r="N28" s="59">
        <v>0</v>
      </c>
      <c r="O28" s="58">
        <v>1</v>
      </c>
      <c r="P28" s="59">
        <v>0</v>
      </c>
      <c r="Q28" s="58" t="b">
        <v>1</v>
      </c>
      <c r="R28" s="58" t="b">
        <v>1</v>
      </c>
      <c r="S28" s="58" t="b">
        <v>0</v>
      </c>
      <c r="T28" s="58">
        <v>75</v>
      </c>
      <c r="U28" s="58">
        <v>7</v>
      </c>
      <c r="V28" s="58">
        <v>0</v>
      </c>
      <c r="W28" s="90">
        <v>0.25</v>
      </c>
      <c r="X28" s="90">
        <v>0.25</v>
      </c>
      <c r="Y28" s="90">
        <v>0</v>
      </c>
      <c r="Z28" s="106">
        <v>0</v>
      </c>
      <c r="AA28" s="105" t="s">
        <v>351</v>
      </c>
      <c r="AB28" s="104" t="s">
        <v>350</v>
      </c>
      <c r="AC28" s="104" t="s">
        <v>349</v>
      </c>
      <c r="AD28" s="104" t="s">
        <v>348</v>
      </c>
      <c r="AE28" s="103" t="s">
        <v>347</v>
      </c>
    </row>
    <row r="29" spans="1:31" s="83" customFormat="1" x14ac:dyDescent="0.25">
      <c r="A29" s="123" t="s">
        <v>2</v>
      </c>
      <c r="B29" s="82" t="s">
        <v>346</v>
      </c>
      <c r="C29" s="132" t="s">
        <v>84</v>
      </c>
      <c r="D29" s="102">
        <v>60</v>
      </c>
      <c r="E29" s="131">
        <v>4</v>
      </c>
      <c r="F29" s="131">
        <v>0</v>
      </c>
      <c r="G29" s="131">
        <v>5</v>
      </c>
      <c r="H29" s="131">
        <v>0</v>
      </c>
      <c r="I29" s="131">
        <v>55</v>
      </c>
      <c r="J29" s="72">
        <v>0.15</v>
      </c>
      <c r="K29" s="131">
        <v>0</v>
      </c>
      <c r="L29" s="78" t="b">
        <v>1</v>
      </c>
      <c r="M29" s="81">
        <v>5</v>
      </c>
      <c r="N29" s="81">
        <v>5</v>
      </c>
      <c r="O29" s="78">
        <v>1</v>
      </c>
      <c r="P29" s="81">
        <v>1</v>
      </c>
      <c r="Q29" s="58" t="b">
        <v>1</v>
      </c>
      <c r="R29" s="78" t="b">
        <v>0</v>
      </c>
      <c r="S29" s="78" t="b">
        <v>0</v>
      </c>
      <c r="T29" s="78">
        <v>1</v>
      </c>
      <c r="U29" s="78">
        <v>4</v>
      </c>
      <c r="V29" s="78">
        <v>0</v>
      </c>
      <c r="W29" s="93">
        <v>0.1</v>
      </c>
      <c r="X29" s="93">
        <v>0.1</v>
      </c>
      <c r="Y29" s="93">
        <v>0.7</v>
      </c>
      <c r="Z29" s="115">
        <v>0</v>
      </c>
      <c r="AA29" s="101" t="s">
        <v>345</v>
      </c>
      <c r="AB29" s="113" t="s">
        <v>344</v>
      </c>
      <c r="AC29" s="113" t="s">
        <v>343</v>
      </c>
      <c r="AD29" s="113" t="s">
        <v>259</v>
      </c>
      <c r="AE29" s="133" t="s">
        <v>258</v>
      </c>
    </row>
    <row r="30" spans="1:31" s="83" customFormat="1" x14ac:dyDescent="0.25">
      <c r="A30" s="123" t="s">
        <v>2</v>
      </c>
      <c r="B30" s="82" t="s">
        <v>342</v>
      </c>
      <c r="C30" s="132" t="s">
        <v>84</v>
      </c>
      <c r="D30" s="102">
        <v>20</v>
      </c>
      <c r="E30" s="131">
        <v>2</v>
      </c>
      <c r="F30" s="131">
        <v>0</v>
      </c>
      <c r="G30" s="131">
        <v>2</v>
      </c>
      <c r="H30" s="131">
        <v>0</v>
      </c>
      <c r="I30" s="131">
        <v>25</v>
      </c>
      <c r="J30" s="72">
        <v>7.4999999999999997E-2</v>
      </c>
      <c r="K30" s="131">
        <v>0</v>
      </c>
      <c r="L30" s="78" t="b">
        <v>1</v>
      </c>
      <c r="M30" s="81">
        <v>5</v>
      </c>
      <c r="N30" s="81">
        <v>5</v>
      </c>
      <c r="O30" s="78">
        <v>0</v>
      </c>
      <c r="P30" s="81">
        <f>entityDefinitions[[#This Row],['[edibleFromTier']]]</f>
        <v>0</v>
      </c>
      <c r="Q30" s="58" t="b">
        <v>1</v>
      </c>
      <c r="R30" s="78" t="b">
        <v>0</v>
      </c>
      <c r="S30" s="78" t="b">
        <v>0</v>
      </c>
      <c r="T30" s="78">
        <v>1</v>
      </c>
      <c r="U30" s="78">
        <v>1</v>
      </c>
      <c r="V30" s="78">
        <v>0</v>
      </c>
      <c r="W30" s="93">
        <v>0.2</v>
      </c>
      <c r="X30" s="93">
        <v>0.05</v>
      </c>
      <c r="Y30" s="93">
        <v>0</v>
      </c>
      <c r="Z30" s="115">
        <v>0</v>
      </c>
      <c r="AA30" s="101" t="s">
        <v>341</v>
      </c>
      <c r="AB30" s="113" t="s">
        <v>340</v>
      </c>
      <c r="AC30" s="113" t="s">
        <v>339</v>
      </c>
      <c r="AD30" s="130"/>
      <c r="AE30" s="134"/>
    </row>
    <row r="31" spans="1:31" s="83" customFormat="1" x14ac:dyDescent="0.25">
      <c r="A31" s="123" t="s">
        <v>2</v>
      </c>
      <c r="B31" s="148" t="s">
        <v>338</v>
      </c>
      <c r="C31" s="147" t="s">
        <v>66</v>
      </c>
      <c r="D31" s="120">
        <v>360</v>
      </c>
      <c r="E31" s="119">
        <v>49</v>
      </c>
      <c r="F31" s="119">
        <v>0</v>
      </c>
      <c r="G31" s="119">
        <v>80</v>
      </c>
      <c r="H31" s="119">
        <v>0</v>
      </c>
      <c r="I31" s="119">
        <v>130</v>
      </c>
      <c r="J31" s="72">
        <v>0.15</v>
      </c>
      <c r="K31" s="119">
        <v>0</v>
      </c>
      <c r="L31" s="96" t="b">
        <v>1</v>
      </c>
      <c r="M31" s="69">
        <v>4</v>
      </c>
      <c r="N31" s="69">
        <v>5</v>
      </c>
      <c r="O31" s="118">
        <v>5</v>
      </c>
      <c r="P31" s="69">
        <v>4</v>
      </c>
      <c r="Q31" s="58" t="b">
        <v>1</v>
      </c>
      <c r="R31" s="126" t="b">
        <v>0</v>
      </c>
      <c r="S31" s="58" t="b">
        <v>1</v>
      </c>
      <c r="T31" s="58">
        <v>1000</v>
      </c>
      <c r="U31" s="117">
        <v>17</v>
      </c>
      <c r="V31" s="58">
        <v>0</v>
      </c>
      <c r="W31" s="93">
        <v>0.25</v>
      </c>
      <c r="X31" s="93">
        <v>0.25</v>
      </c>
      <c r="Y31" s="93">
        <v>0</v>
      </c>
      <c r="Z31" s="115">
        <v>0</v>
      </c>
      <c r="AA31" s="145" t="s">
        <v>205</v>
      </c>
      <c r="AB31" s="130" t="s">
        <v>204</v>
      </c>
      <c r="AC31" s="125" t="s">
        <v>203</v>
      </c>
      <c r="AD31" s="125"/>
      <c r="AE31" s="124"/>
    </row>
    <row r="32" spans="1:31" s="83" customFormat="1" x14ac:dyDescent="0.25">
      <c r="A32" s="111" t="s">
        <v>2</v>
      </c>
      <c r="B32" s="110" t="s">
        <v>337</v>
      </c>
      <c r="C32" s="109" t="s">
        <v>90</v>
      </c>
      <c r="D32" s="108">
        <v>40</v>
      </c>
      <c r="E32" s="107">
        <v>2</v>
      </c>
      <c r="F32" s="107">
        <v>0</v>
      </c>
      <c r="G32" s="107">
        <v>15</v>
      </c>
      <c r="H32" s="107">
        <v>0</v>
      </c>
      <c r="I32" s="107">
        <v>50</v>
      </c>
      <c r="J32" s="91">
        <v>0.15</v>
      </c>
      <c r="K32" s="107">
        <v>0</v>
      </c>
      <c r="L32" s="58" t="b">
        <v>1</v>
      </c>
      <c r="M32" s="59">
        <v>5</v>
      </c>
      <c r="N32" s="59">
        <v>5</v>
      </c>
      <c r="O32" s="58">
        <v>0</v>
      </c>
      <c r="P32" s="59">
        <v>0</v>
      </c>
      <c r="Q32" s="58" t="b">
        <v>1</v>
      </c>
      <c r="R32" s="58" t="b">
        <v>0</v>
      </c>
      <c r="S32" s="58" t="b">
        <v>0</v>
      </c>
      <c r="T32" s="58">
        <v>1</v>
      </c>
      <c r="U32" s="58">
        <v>7</v>
      </c>
      <c r="V32" s="58">
        <v>0</v>
      </c>
      <c r="W32" s="90">
        <v>0.25</v>
      </c>
      <c r="X32" s="90">
        <v>0.25</v>
      </c>
      <c r="Y32" s="90">
        <v>0</v>
      </c>
      <c r="Z32" s="106">
        <v>0</v>
      </c>
      <c r="AA32" s="105" t="s">
        <v>89</v>
      </c>
      <c r="AB32" s="104" t="s">
        <v>88</v>
      </c>
      <c r="AC32" s="104" t="s">
        <v>87</v>
      </c>
      <c r="AD32" s="125"/>
      <c r="AE32" s="124"/>
    </row>
    <row r="33" spans="1:31" s="83" customFormat="1" x14ac:dyDescent="0.25">
      <c r="A33" s="111" t="s">
        <v>2</v>
      </c>
      <c r="B33" s="110" t="s">
        <v>336</v>
      </c>
      <c r="C33" s="109" t="s">
        <v>68</v>
      </c>
      <c r="D33" s="108">
        <v>60</v>
      </c>
      <c r="E33" s="107">
        <v>2</v>
      </c>
      <c r="F33" s="107">
        <v>0</v>
      </c>
      <c r="G33" s="107">
        <v>30</v>
      </c>
      <c r="H33" s="107">
        <v>0</v>
      </c>
      <c r="I33" s="107">
        <v>75</v>
      </c>
      <c r="J33" s="91">
        <v>0.22499999999999998</v>
      </c>
      <c r="K33" s="107">
        <v>0</v>
      </c>
      <c r="L33" s="58" t="b">
        <v>1</v>
      </c>
      <c r="M33" s="59">
        <v>5</v>
      </c>
      <c r="N33" s="59">
        <v>5</v>
      </c>
      <c r="O33" s="58">
        <v>0</v>
      </c>
      <c r="P33" s="59">
        <f>entityDefinitions[[#This Row],['[edibleFromTier']]]</f>
        <v>0</v>
      </c>
      <c r="Q33" s="58" t="b">
        <v>1</v>
      </c>
      <c r="R33" s="58" t="b">
        <v>0</v>
      </c>
      <c r="S33" s="58" t="b">
        <v>0</v>
      </c>
      <c r="T33" s="58">
        <v>1</v>
      </c>
      <c r="U33" s="58">
        <v>6</v>
      </c>
      <c r="V33" s="58">
        <v>0</v>
      </c>
      <c r="W33" s="90">
        <v>0.25</v>
      </c>
      <c r="X33" s="90">
        <v>0.25</v>
      </c>
      <c r="Y33" s="90">
        <v>0.8</v>
      </c>
      <c r="Z33" s="106">
        <v>0</v>
      </c>
      <c r="AA33" s="105" t="s">
        <v>335</v>
      </c>
      <c r="AB33" s="104" t="s">
        <v>334</v>
      </c>
      <c r="AC33" s="104" t="s">
        <v>333</v>
      </c>
      <c r="AD33" s="104" t="s">
        <v>332</v>
      </c>
      <c r="AE33" s="103" t="s">
        <v>331</v>
      </c>
    </row>
    <row r="34" spans="1:31" s="83" customFormat="1" x14ac:dyDescent="0.25">
      <c r="A34" s="123" t="s">
        <v>2</v>
      </c>
      <c r="B34" s="82" t="s">
        <v>330</v>
      </c>
      <c r="C34" s="132" t="s">
        <v>84</v>
      </c>
      <c r="D34" s="102">
        <v>20</v>
      </c>
      <c r="E34" s="131">
        <v>2</v>
      </c>
      <c r="F34" s="131">
        <v>0</v>
      </c>
      <c r="G34" s="131">
        <v>2</v>
      </c>
      <c r="H34" s="131">
        <v>0</v>
      </c>
      <c r="I34" s="131">
        <v>25</v>
      </c>
      <c r="J34" s="72">
        <v>7.4999999999999997E-2</v>
      </c>
      <c r="K34" s="131">
        <v>0</v>
      </c>
      <c r="L34" s="78" t="b">
        <v>1</v>
      </c>
      <c r="M34" s="81">
        <v>5</v>
      </c>
      <c r="N34" s="81">
        <v>5</v>
      </c>
      <c r="O34" s="78">
        <v>0</v>
      </c>
      <c r="P34" s="81">
        <f>entityDefinitions[[#This Row],['[edibleFromTier']]]</f>
        <v>0</v>
      </c>
      <c r="Q34" s="58" t="b">
        <v>1</v>
      </c>
      <c r="R34" s="78" t="b">
        <v>0</v>
      </c>
      <c r="S34" s="78" t="b">
        <v>0</v>
      </c>
      <c r="T34" s="78">
        <v>1</v>
      </c>
      <c r="U34" s="78">
        <v>1</v>
      </c>
      <c r="V34" s="78">
        <v>0</v>
      </c>
      <c r="W34" s="93">
        <v>0.15</v>
      </c>
      <c r="X34" s="93">
        <v>0.15</v>
      </c>
      <c r="Y34" s="93">
        <v>0</v>
      </c>
      <c r="Z34" s="115">
        <v>0</v>
      </c>
      <c r="AA34" s="101" t="s">
        <v>329</v>
      </c>
      <c r="AB34" s="113" t="s">
        <v>320</v>
      </c>
      <c r="AC34" s="113" t="s">
        <v>298</v>
      </c>
      <c r="AD34" s="130"/>
      <c r="AE34" s="129"/>
    </row>
    <row r="35" spans="1:31" s="83" customFormat="1" x14ac:dyDescent="0.25">
      <c r="A35" s="123" t="s">
        <v>2</v>
      </c>
      <c r="B35" s="82" t="s">
        <v>328</v>
      </c>
      <c r="C35" s="132" t="s">
        <v>84</v>
      </c>
      <c r="D35" s="102">
        <v>20</v>
      </c>
      <c r="E35" s="131">
        <v>2</v>
      </c>
      <c r="F35" s="131">
        <v>0</v>
      </c>
      <c r="G35" s="131">
        <v>2</v>
      </c>
      <c r="H35" s="131">
        <v>0</v>
      </c>
      <c r="I35" s="131">
        <v>25</v>
      </c>
      <c r="J35" s="72">
        <v>7.4999999999999997E-2</v>
      </c>
      <c r="K35" s="131">
        <v>0</v>
      </c>
      <c r="L35" s="78" t="b">
        <v>1</v>
      </c>
      <c r="M35" s="81">
        <v>5</v>
      </c>
      <c r="N35" s="81">
        <v>5</v>
      </c>
      <c r="O35" s="78">
        <v>0</v>
      </c>
      <c r="P35" s="81">
        <f>entityDefinitions[[#This Row],['[edibleFromTier']]]</f>
        <v>0</v>
      </c>
      <c r="Q35" s="58" t="b">
        <v>1</v>
      </c>
      <c r="R35" s="78" t="b">
        <v>0</v>
      </c>
      <c r="S35" s="78" t="b">
        <v>0</v>
      </c>
      <c r="T35" s="78">
        <v>1</v>
      </c>
      <c r="U35" s="78">
        <v>1</v>
      </c>
      <c r="V35" s="78">
        <v>0</v>
      </c>
      <c r="W35" s="93">
        <v>0.15</v>
      </c>
      <c r="X35" s="93">
        <v>0.15</v>
      </c>
      <c r="Y35" s="93">
        <v>0</v>
      </c>
      <c r="Z35" s="115">
        <v>0</v>
      </c>
      <c r="AA35" s="101" t="s">
        <v>327</v>
      </c>
      <c r="AB35" s="113" t="s">
        <v>320</v>
      </c>
      <c r="AC35" s="113" t="s">
        <v>326</v>
      </c>
      <c r="AD35" s="130"/>
      <c r="AE35" s="129"/>
    </row>
    <row r="36" spans="1:31" s="83" customFormat="1" x14ac:dyDescent="0.25">
      <c r="A36" s="123" t="s">
        <v>2</v>
      </c>
      <c r="B36" s="82" t="s">
        <v>325</v>
      </c>
      <c r="C36" s="132" t="s">
        <v>84</v>
      </c>
      <c r="D36" s="102">
        <v>20</v>
      </c>
      <c r="E36" s="131">
        <v>2</v>
      </c>
      <c r="F36" s="131">
        <v>0</v>
      </c>
      <c r="G36" s="131">
        <v>2</v>
      </c>
      <c r="H36" s="131">
        <v>0</v>
      </c>
      <c r="I36" s="131">
        <v>25</v>
      </c>
      <c r="J36" s="72">
        <v>7.4999999999999997E-2</v>
      </c>
      <c r="K36" s="131">
        <v>0</v>
      </c>
      <c r="L36" s="78" t="b">
        <v>1</v>
      </c>
      <c r="M36" s="81">
        <v>5</v>
      </c>
      <c r="N36" s="81">
        <v>5</v>
      </c>
      <c r="O36" s="78">
        <v>0</v>
      </c>
      <c r="P36" s="81">
        <f>entityDefinitions[[#This Row],['[edibleFromTier']]]</f>
        <v>0</v>
      </c>
      <c r="Q36" s="58" t="b">
        <v>1</v>
      </c>
      <c r="R36" s="78" t="b">
        <v>0</v>
      </c>
      <c r="S36" s="78" t="b">
        <v>0</v>
      </c>
      <c r="T36" s="78">
        <v>1</v>
      </c>
      <c r="U36" s="78">
        <v>1</v>
      </c>
      <c r="V36" s="78">
        <v>0</v>
      </c>
      <c r="W36" s="93">
        <v>0.15</v>
      </c>
      <c r="X36" s="93">
        <v>0.15</v>
      </c>
      <c r="Y36" s="93">
        <v>0</v>
      </c>
      <c r="Z36" s="115">
        <v>0</v>
      </c>
      <c r="AA36" s="101" t="s">
        <v>324</v>
      </c>
      <c r="AB36" s="113" t="s">
        <v>320</v>
      </c>
      <c r="AC36" s="113" t="s">
        <v>323</v>
      </c>
      <c r="AD36" s="130"/>
      <c r="AE36" s="129"/>
    </row>
    <row r="37" spans="1:31" x14ac:dyDescent="0.25">
      <c r="A37" s="123" t="s">
        <v>2</v>
      </c>
      <c r="B37" s="82" t="s">
        <v>322</v>
      </c>
      <c r="C37" s="132" t="s">
        <v>84</v>
      </c>
      <c r="D37" s="102">
        <v>20</v>
      </c>
      <c r="E37" s="131">
        <v>2</v>
      </c>
      <c r="F37" s="131">
        <v>0</v>
      </c>
      <c r="G37" s="131">
        <v>2</v>
      </c>
      <c r="H37" s="131">
        <v>0</v>
      </c>
      <c r="I37" s="131">
        <v>25</v>
      </c>
      <c r="J37" s="72">
        <v>7.4999999999999997E-2</v>
      </c>
      <c r="K37" s="131">
        <v>0</v>
      </c>
      <c r="L37" s="78" t="b">
        <v>1</v>
      </c>
      <c r="M37" s="81">
        <v>5</v>
      </c>
      <c r="N37" s="81">
        <v>5</v>
      </c>
      <c r="O37" s="78">
        <v>0</v>
      </c>
      <c r="P37" s="81">
        <f>entityDefinitions[[#This Row],['[edibleFromTier']]]</f>
        <v>0</v>
      </c>
      <c r="Q37" s="58" t="b">
        <v>1</v>
      </c>
      <c r="R37" s="78" t="b">
        <v>0</v>
      </c>
      <c r="S37" s="78" t="b">
        <v>0</v>
      </c>
      <c r="T37" s="78">
        <v>1</v>
      </c>
      <c r="U37" s="78">
        <v>1</v>
      </c>
      <c r="V37" s="78">
        <v>0</v>
      </c>
      <c r="W37" s="93">
        <v>0.15</v>
      </c>
      <c r="X37" s="93">
        <v>0.15</v>
      </c>
      <c r="Y37" s="93">
        <v>0</v>
      </c>
      <c r="Z37" s="115">
        <v>0</v>
      </c>
      <c r="AA37" s="101" t="s">
        <v>321</v>
      </c>
      <c r="AB37" s="113" t="s">
        <v>320</v>
      </c>
      <c r="AC37" s="113" t="s">
        <v>319</v>
      </c>
      <c r="AD37" s="130"/>
      <c r="AE37" s="129"/>
    </row>
    <row r="38" spans="1:31" x14ac:dyDescent="0.25">
      <c r="A38" s="111" t="s">
        <v>2</v>
      </c>
      <c r="B38" s="110" t="s">
        <v>318</v>
      </c>
      <c r="C38" s="109" t="s">
        <v>90</v>
      </c>
      <c r="D38" s="108">
        <v>60</v>
      </c>
      <c r="E38" s="107">
        <v>2</v>
      </c>
      <c r="F38" s="107">
        <v>0</v>
      </c>
      <c r="G38" s="107">
        <v>15</v>
      </c>
      <c r="H38" s="107">
        <v>0</v>
      </c>
      <c r="I38" s="107">
        <v>75</v>
      </c>
      <c r="J38" s="91">
        <v>0.22499999999999998</v>
      </c>
      <c r="K38" s="107">
        <v>0</v>
      </c>
      <c r="L38" s="58" t="b">
        <v>1</v>
      </c>
      <c r="M38" s="59">
        <v>5</v>
      </c>
      <c r="N38" s="59">
        <v>5</v>
      </c>
      <c r="O38" s="58">
        <v>0</v>
      </c>
      <c r="P38" s="59">
        <v>0</v>
      </c>
      <c r="Q38" s="58" t="b">
        <v>1</v>
      </c>
      <c r="R38" s="58" t="b">
        <v>0</v>
      </c>
      <c r="S38" s="58" t="b">
        <v>0</v>
      </c>
      <c r="T38" s="58">
        <v>1</v>
      </c>
      <c r="U38" s="58">
        <v>7</v>
      </c>
      <c r="V38" s="58">
        <v>0</v>
      </c>
      <c r="W38" s="90">
        <v>0.25</v>
      </c>
      <c r="X38" s="90">
        <v>0.25</v>
      </c>
      <c r="Y38" s="90">
        <v>0</v>
      </c>
      <c r="Z38" s="106">
        <v>0</v>
      </c>
      <c r="AA38" s="105" t="s">
        <v>317</v>
      </c>
      <c r="AB38" s="104" t="s">
        <v>20</v>
      </c>
      <c r="AC38" s="104" t="s">
        <v>140</v>
      </c>
      <c r="AD38" s="125"/>
      <c r="AE38" s="138"/>
    </row>
    <row r="39" spans="1:31" x14ac:dyDescent="0.25">
      <c r="A39" s="123" t="s">
        <v>2</v>
      </c>
      <c r="B39" s="82" t="s">
        <v>316</v>
      </c>
      <c r="C39" s="132" t="s">
        <v>84</v>
      </c>
      <c r="D39" s="102">
        <v>60</v>
      </c>
      <c r="E39" s="131">
        <v>4</v>
      </c>
      <c r="F39" s="131">
        <v>0</v>
      </c>
      <c r="G39" s="131">
        <v>15</v>
      </c>
      <c r="H39" s="131">
        <v>0</v>
      </c>
      <c r="I39" s="131">
        <v>55</v>
      </c>
      <c r="J39" s="72">
        <v>0.15</v>
      </c>
      <c r="K39" s="131">
        <v>0</v>
      </c>
      <c r="L39" s="78" t="b">
        <v>1</v>
      </c>
      <c r="M39" s="81">
        <v>5</v>
      </c>
      <c r="N39" s="81">
        <v>1</v>
      </c>
      <c r="O39" s="78">
        <v>2</v>
      </c>
      <c r="P39" s="81">
        <v>1</v>
      </c>
      <c r="Q39" s="58" t="b">
        <v>1</v>
      </c>
      <c r="R39" s="78" t="b">
        <v>1</v>
      </c>
      <c r="S39" s="78" t="b">
        <v>0</v>
      </c>
      <c r="T39" s="78">
        <v>95</v>
      </c>
      <c r="U39" s="78">
        <v>6</v>
      </c>
      <c r="V39" s="78">
        <v>0</v>
      </c>
      <c r="W39" s="93">
        <v>0.25</v>
      </c>
      <c r="X39" s="93">
        <v>0.25</v>
      </c>
      <c r="Y39" s="93">
        <v>0</v>
      </c>
      <c r="Z39" s="115">
        <v>0</v>
      </c>
      <c r="AA39" s="101" t="s">
        <v>315</v>
      </c>
      <c r="AB39" s="113" t="s">
        <v>314</v>
      </c>
      <c r="AC39" s="113" t="s">
        <v>313</v>
      </c>
      <c r="AD39" s="130"/>
      <c r="AE39" s="134"/>
    </row>
    <row r="40" spans="1:31" s="83" customFormat="1" x14ac:dyDescent="0.25">
      <c r="A40" s="123" t="s">
        <v>2</v>
      </c>
      <c r="B40" s="82" t="s">
        <v>312</v>
      </c>
      <c r="C40" s="132" t="s">
        <v>84</v>
      </c>
      <c r="D40" s="102">
        <v>90</v>
      </c>
      <c r="E40" s="131">
        <v>4</v>
      </c>
      <c r="F40" s="131">
        <v>0</v>
      </c>
      <c r="G40" s="131">
        <v>30</v>
      </c>
      <c r="H40" s="131">
        <v>0</v>
      </c>
      <c r="I40" s="131">
        <v>83</v>
      </c>
      <c r="J40" s="72">
        <v>0.22499999999999998</v>
      </c>
      <c r="K40" s="131">
        <v>0</v>
      </c>
      <c r="L40" s="78" t="b">
        <v>1</v>
      </c>
      <c r="M40" s="81">
        <v>1</v>
      </c>
      <c r="N40" s="81">
        <v>5</v>
      </c>
      <c r="O40" s="78">
        <v>2</v>
      </c>
      <c r="P40" s="81">
        <v>1</v>
      </c>
      <c r="Q40" s="58" t="b">
        <v>1</v>
      </c>
      <c r="R40" s="78" t="b">
        <v>0</v>
      </c>
      <c r="S40" s="78" t="b">
        <v>1</v>
      </c>
      <c r="T40" s="78">
        <v>100</v>
      </c>
      <c r="U40" s="78">
        <v>10</v>
      </c>
      <c r="V40" s="78">
        <v>0</v>
      </c>
      <c r="W40" s="93">
        <v>0.05</v>
      </c>
      <c r="X40" s="93">
        <v>0.05</v>
      </c>
      <c r="Y40" s="93">
        <v>1</v>
      </c>
      <c r="Z40" s="115">
        <v>0</v>
      </c>
      <c r="AA40" s="114" t="s">
        <v>311</v>
      </c>
      <c r="AB40" s="113" t="s">
        <v>20</v>
      </c>
      <c r="AC40" s="113" t="s">
        <v>240</v>
      </c>
      <c r="AD40" s="113" t="s">
        <v>152</v>
      </c>
      <c r="AE40" s="113" t="s">
        <v>151</v>
      </c>
    </row>
    <row r="41" spans="1:31" s="83" customFormat="1" x14ac:dyDescent="0.25">
      <c r="A41" s="123" t="s">
        <v>2</v>
      </c>
      <c r="B41" s="122" t="s">
        <v>310</v>
      </c>
      <c r="C41" s="121" t="s">
        <v>84</v>
      </c>
      <c r="D41" s="137">
        <v>40</v>
      </c>
      <c r="E41" s="136">
        <v>2</v>
      </c>
      <c r="F41" s="136">
        <v>0</v>
      </c>
      <c r="G41" s="136">
        <v>3</v>
      </c>
      <c r="H41" s="136">
        <v>0</v>
      </c>
      <c r="I41" s="136">
        <v>50</v>
      </c>
      <c r="J41" s="99">
        <v>0.15</v>
      </c>
      <c r="K41" s="136">
        <v>0</v>
      </c>
      <c r="L41" s="96" t="b">
        <v>1</v>
      </c>
      <c r="M41" s="81">
        <v>5</v>
      </c>
      <c r="N41" s="81">
        <v>5</v>
      </c>
      <c r="O41" s="96">
        <v>0</v>
      </c>
      <c r="P41" s="81">
        <f>entityDefinitions[[#This Row],['[edibleFromTier']]]</f>
        <v>0</v>
      </c>
      <c r="Q41" s="58" t="b">
        <v>1</v>
      </c>
      <c r="R41" s="96" t="b">
        <v>0</v>
      </c>
      <c r="S41" s="96" t="b">
        <v>0</v>
      </c>
      <c r="T41" s="96">
        <v>1</v>
      </c>
      <c r="U41" s="96">
        <v>2</v>
      </c>
      <c r="V41" s="96">
        <v>0</v>
      </c>
      <c r="W41" s="156">
        <v>0.25</v>
      </c>
      <c r="X41" s="156">
        <v>0.25</v>
      </c>
      <c r="Y41" s="156">
        <v>0</v>
      </c>
      <c r="Z41" s="155">
        <v>0</v>
      </c>
      <c r="AA41" s="114" t="s">
        <v>309</v>
      </c>
      <c r="AB41" s="113" t="s">
        <v>308</v>
      </c>
      <c r="AC41" s="113" t="s">
        <v>307</v>
      </c>
      <c r="AD41" s="130"/>
      <c r="AE41" s="129"/>
    </row>
    <row r="42" spans="1:31" x14ac:dyDescent="0.25">
      <c r="A42" s="123" t="s">
        <v>2</v>
      </c>
      <c r="B42" s="82" t="s">
        <v>306</v>
      </c>
      <c r="C42" s="132" t="s">
        <v>84</v>
      </c>
      <c r="D42" s="102">
        <v>20</v>
      </c>
      <c r="E42" s="131">
        <v>2</v>
      </c>
      <c r="F42" s="131">
        <v>0</v>
      </c>
      <c r="G42" s="131">
        <v>15</v>
      </c>
      <c r="H42" s="131">
        <v>0</v>
      </c>
      <c r="I42" s="131">
        <v>25</v>
      </c>
      <c r="J42" s="72">
        <v>7.4999999999999997E-2</v>
      </c>
      <c r="K42" s="131">
        <v>0</v>
      </c>
      <c r="L42" s="78" t="b">
        <v>1</v>
      </c>
      <c r="M42" s="81">
        <v>5</v>
      </c>
      <c r="N42" s="81">
        <v>5</v>
      </c>
      <c r="O42" s="143">
        <v>0</v>
      </c>
      <c r="P42" s="59">
        <f>entityDefinitions[[#This Row],['[edibleFromTier']]]</f>
        <v>0</v>
      </c>
      <c r="Q42" s="58" t="b">
        <v>1</v>
      </c>
      <c r="R42" s="78" t="b">
        <v>0</v>
      </c>
      <c r="S42" s="78" t="b">
        <v>0</v>
      </c>
      <c r="T42" s="78">
        <v>1</v>
      </c>
      <c r="U42" s="78">
        <v>9</v>
      </c>
      <c r="V42" s="78">
        <v>0</v>
      </c>
      <c r="W42" s="84">
        <v>0.05</v>
      </c>
      <c r="X42" s="93">
        <v>0.05</v>
      </c>
      <c r="Y42" s="93">
        <v>0</v>
      </c>
      <c r="Z42" s="115">
        <v>0</v>
      </c>
      <c r="AA42" s="114" t="s">
        <v>83</v>
      </c>
      <c r="AB42" s="113" t="s">
        <v>82</v>
      </c>
      <c r="AC42" s="104" t="s">
        <v>81</v>
      </c>
      <c r="AD42" s="125"/>
      <c r="AE42" s="124"/>
    </row>
    <row r="43" spans="1:31" x14ac:dyDescent="0.25">
      <c r="A43" s="111" t="s">
        <v>2</v>
      </c>
      <c r="B43" s="110" t="s">
        <v>305</v>
      </c>
      <c r="C43" s="109" t="s">
        <v>68</v>
      </c>
      <c r="D43" s="154">
        <v>180</v>
      </c>
      <c r="E43" s="152">
        <v>9</v>
      </c>
      <c r="F43" s="152">
        <v>0</v>
      </c>
      <c r="G43" s="152">
        <v>45</v>
      </c>
      <c r="H43" s="152">
        <v>0</v>
      </c>
      <c r="I43" s="152">
        <v>105</v>
      </c>
      <c r="J43" s="153">
        <v>0.22499999999999998</v>
      </c>
      <c r="K43" s="152">
        <v>0</v>
      </c>
      <c r="L43" s="58" t="b">
        <v>1</v>
      </c>
      <c r="M43" s="59">
        <v>5</v>
      </c>
      <c r="N43" s="59">
        <v>2</v>
      </c>
      <c r="O43" s="58">
        <v>4</v>
      </c>
      <c r="P43" s="59">
        <v>2</v>
      </c>
      <c r="Q43" s="58" t="b">
        <v>1</v>
      </c>
      <c r="R43" s="58" t="b">
        <v>1</v>
      </c>
      <c r="S43" s="58" t="b">
        <v>0</v>
      </c>
      <c r="T43" s="58">
        <v>200</v>
      </c>
      <c r="U43" s="58">
        <v>10</v>
      </c>
      <c r="V43" s="58">
        <v>0</v>
      </c>
      <c r="W43" s="90">
        <v>0.25</v>
      </c>
      <c r="X43" s="90">
        <v>0.25</v>
      </c>
      <c r="Y43" s="90">
        <v>0.8</v>
      </c>
      <c r="Z43" s="106">
        <v>0</v>
      </c>
      <c r="AA43" s="105" t="s">
        <v>304</v>
      </c>
      <c r="AB43" s="104" t="s">
        <v>303</v>
      </c>
      <c r="AC43" s="104" t="s">
        <v>140</v>
      </c>
      <c r="AD43" s="104" t="s">
        <v>117</v>
      </c>
      <c r="AE43" s="103" t="s">
        <v>302</v>
      </c>
    </row>
    <row r="44" spans="1:31" x14ac:dyDescent="0.25">
      <c r="A44" s="111" t="s">
        <v>2</v>
      </c>
      <c r="B44" s="110" t="s">
        <v>301</v>
      </c>
      <c r="C44" s="109" t="s">
        <v>90</v>
      </c>
      <c r="D44" s="108">
        <v>60</v>
      </c>
      <c r="E44" s="107">
        <v>2</v>
      </c>
      <c r="F44" s="107">
        <v>0</v>
      </c>
      <c r="G44" s="107">
        <v>15</v>
      </c>
      <c r="H44" s="107">
        <v>0</v>
      </c>
      <c r="I44" s="107">
        <v>75</v>
      </c>
      <c r="J44" s="91">
        <v>0.22499999999999998</v>
      </c>
      <c r="K44" s="107">
        <v>0</v>
      </c>
      <c r="L44" s="58" t="b">
        <v>1</v>
      </c>
      <c r="M44" s="59">
        <v>0</v>
      </c>
      <c r="N44" s="59">
        <v>5</v>
      </c>
      <c r="O44" s="58">
        <v>2</v>
      </c>
      <c r="P44" s="59">
        <v>0</v>
      </c>
      <c r="Q44" s="58" t="b">
        <v>1</v>
      </c>
      <c r="R44" s="58" t="b">
        <v>0</v>
      </c>
      <c r="S44" s="58" t="b">
        <v>1</v>
      </c>
      <c r="T44" s="58">
        <v>95</v>
      </c>
      <c r="U44" s="58">
        <v>9</v>
      </c>
      <c r="V44" s="58">
        <v>20</v>
      </c>
      <c r="W44" s="90">
        <v>0.25</v>
      </c>
      <c r="X44" s="90">
        <v>0.25</v>
      </c>
      <c r="Y44" s="90">
        <v>0</v>
      </c>
      <c r="Z44" s="106">
        <v>0</v>
      </c>
      <c r="AA44" s="105" t="s">
        <v>300</v>
      </c>
      <c r="AB44" s="104" t="s">
        <v>299</v>
      </c>
      <c r="AC44" s="104" t="s">
        <v>298</v>
      </c>
      <c r="AD44" s="125"/>
      <c r="AE44" s="124"/>
    </row>
    <row r="45" spans="1:31" x14ac:dyDescent="0.25">
      <c r="A45" s="111" t="s">
        <v>2</v>
      </c>
      <c r="B45" s="110" t="s">
        <v>297</v>
      </c>
      <c r="C45" s="109" t="s">
        <v>288</v>
      </c>
      <c r="D45" s="108">
        <v>40</v>
      </c>
      <c r="E45" s="107">
        <v>2</v>
      </c>
      <c r="F45" s="107">
        <v>0</v>
      </c>
      <c r="G45" s="107">
        <v>20</v>
      </c>
      <c r="H45" s="107">
        <v>0</v>
      </c>
      <c r="I45" s="107">
        <v>50</v>
      </c>
      <c r="J45" s="91">
        <v>0.15</v>
      </c>
      <c r="K45" s="107">
        <v>0</v>
      </c>
      <c r="L45" s="58" t="b">
        <v>1</v>
      </c>
      <c r="M45" s="59">
        <v>0</v>
      </c>
      <c r="N45" s="59">
        <v>5</v>
      </c>
      <c r="O45" s="58">
        <v>1</v>
      </c>
      <c r="P45" s="59">
        <v>0</v>
      </c>
      <c r="Q45" s="58" t="b">
        <v>1</v>
      </c>
      <c r="R45" s="58" t="b">
        <v>0</v>
      </c>
      <c r="S45" s="58" t="b">
        <v>1</v>
      </c>
      <c r="T45" s="58">
        <v>80</v>
      </c>
      <c r="U45" s="58">
        <v>5</v>
      </c>
      <c r="V45" s="58">
        <v>0</v>
      </c>
      <c r="W45" s="90">
        <v>0.5</v>
      </c>
      <c r="X45" s="90">
        <v>0.5</v>
      </c>
      <c r="Y45" s="90">
        <v>0.7</v>
      </c>
      <c r="Z45" s="106">
        <v>0</v>
      </c>
      <c r="AA45" s="105" t="s">
        <v>296</v>
      </c>
      <c r="AB45" s="104" t="s">
        <v>286</v>
      </c>
      <c r="AC45" s="104" t="s">
        <v>285</v>
      </c>
      <c r="AD45" s="104" t="s">
        <v>284</v>
      </c>
      <c r="AE45" s="103" t="s">
        <v>283</v>
      </c>
    </row>
    <row r="46" spans="1:31" x14ac:dyDescent="0.25">
      <c r="A46" s="111" t="s">
        <v>2</v>
      </c>
      <c r="B46" s="110" t="s">
        <v>295</v>
      </c>
      <c r="C46" s="109" t="s">
        <v>288</v>
      </c>
      <c r="D46" s="108">
        <v>60</v>
      </c>
      <c r="E46" s="107">
        <v>4</v>
      </c>
      <c r="F46" s="107">
        <v>0</v>
      </c>
      <c r="G46" s="107">
        <v>40</v>
      </c>
      <c r="H46" s="107">
        <v>0</v>
      </c>
      <c r="I46" s="107">
        <v>55</v>
      </c>
      <c r="J46" s="91">
        <v>0.15</v>
      </c>
      <c r="K46" s="107">
        <v>0</v>
      </c>
      <c r="L46" s="58" t="b">
        <v>1</v>
      </c>
      <c r="M46" s="59">
        <v>1</v>
      </c>
      <c r="N46" s="59">
        <v>5</v>
      </c>
      <c r="O46" s="58">
        <v>2</v>
      </c>
      <c r="P46" s="59">
        <v>1</v>
      </c>
      <c r="Q46" s="58" t="b">
        <v>1</v>
      </c>
      <c r="R46" s="58" t="b">
        <v>0</v>
      </c>
      <c r="S46" s="58" t="b">
        <v>1</v>
      </c>
      <c r="T46" s="58">
        <v>125</v>
      </c>
      <c r="U46" s="58">
        <v>7</v>
      </c>
      <c r="V46" s="58">
        <v>0</v>
      </c>
      <c r="W46" s="90">
        <v>0.5</v>
      </c>
      <c r="X46" s="90">
        <v>0.5</v>
      </c>
      <c r="Y46" s="90">
        <v>0.7</v>
      </c>
      <c r="Z46" s="106">
        <v>0</v>
      </c>
      <c r="AA46" s="105" t="s">
        <v>294</v>
      </c>
      <c r="AB46" s="104" t="s">
        <v>286</v>
      </c>
      <c r="AC46" s="104" t="s">
        <v>285</v>
      </c>
      <c r="AD46" s="104" t="s">
        <v>284</v>
      </c>
      <c r="AE46" s="103" t="s">
        <v>283</v>
      </c>
    </row>
    <row r="47" spans="1:31" s="83" customFormat="1" x14ac:dyDescent="0.25">
      <c r="A47" s="111" t="s">
        <v>2</v>
      </c>
      <c r="B47" s="110" t="s">
        <v>293</v>
      </c>
      <c r="C47" s="109" t="s">
        <v>288</v>
      </c>
      <c r="D47" s="108">
        <v>180</v>
      </c>
      <c r="E47" s="107">
        <v>9</v>
      </c>
      <c r="F47" s="107">
        <v>0</v>
      </c>
      <c r="G47" s="107">
        <v>80</v>
      </c>
      <c r="H47" s="107">
        <v>0</v>
      </c>
      <c r="I47" s="107">
        <v>105</v>
      </c>
      <c r="J47" s="91">
        <v>0.22499999999999998</v>
      </c>
      <c r="K47" s="107">
        <v>0</v>
      </c>
      <c r="L47" s="58" t="b">
        <v>1</v>
      </c>
      <c r="M47" s="59">
        <v>2</v>
      </c>
      <c r="N47" s="59">
        <v>5</v>
      </c>
      <c r="O47" s="58">
        <v>3</v>
      </c>
      <c r="P47" s="59">
        <v>2</v>
      </c>
      <c r="Q47" s="58" t="b">
        <v>1</v>
      </c>
      <c r="R47" s="58" t="b">
        <v>0</v>
      </c>
      <c r="S47" s="58" t="b">
        <v>1</v>
      </c>
      <c r="T47" s="58">
        <v>225</v>
      </c>
      <c r="U47" s="58">
        <v>9</v>
      </c>
      <c r="V47" s="58">
        <v>0</v>
      </c>
      <c r="W47" s="90">
        <v>0.5</v>
      </c>
      <c r="X47" s="90">
        <v>0.5</v>
      </c>
      <c r="Y47" s="90">
        <v>0.7</v>
      </c>
      <c r="Z47" s="106">
        <v>0</v>
      </c>
      <c r="AA47" s="105" t="s">
        <v>292</v>
      </c>
      <c r="AB47" s="104" t="s">
        <v>286</v>
      </c>
      <c r="AC47" s="104" t="s">
        <v>285</v>
      </c>
      <c r="AD47" s="104" t="s">
        <v>284</v>
      </c>
      <c r="AE47" s="103" t="s">
        <v>283</v>
      </c>
    </row>
    <row r="48" spans="1:31" s="83" customFormat="1" x14ac:dyDescent="0.25">
      <c r="A48" s="111" t="s">
        <v>2</v>
      </c>
      <c r="B48" s="110" t="s">
        <v>291</v>
      </c>
      <c r="C48" s="109" t="s">
        <v>288</v>
      </c>
      <c r="D48" s="108">
        <v>330</v>
      </c>
      <c r="E48" s="107">
        <v>20</v>
      </c>
      <c r="F48" s="107">
        <v>0</v>
      </c>
      <c r="G48" s="107">
        <v>100</v>
      </c>
      <c r="H48" s="107">
        <v>0</v>
      </c>
      <c r="I48" s="107">
        <v>143</v>
      </c>
      <c r="J48" s="91">
        <v>0.22499999999999998</v>
      </c>
      <c r="K48" s="107">
        <v>0</v>
      </c>
      <c r="L48" s="58" t="b">
        <v>1</v>
      </c>
      <c r="M48" s="59">
        <v>3</v>
      </c>
      <c r="N48" s="59">
        <v>5</v>
      </c>
      <c r="O48" s="58">
        <v>4</v>
      </c>
      <c r="P48" s="59">
        <v>3</v>
      </c>
      <c r="Q48" s="58" t="b">
        <v>1</v>
      </c>
      <c r="R48" s="58" t="b">
        <v>0</v>
      </c>
      <c r="S48" s="58" t="b">
        <v>1</v>
      </c>
      <c r="T48" s="58">
        <v>600</v>
      </c>
      <c r="U48" s="58">
        <v>11</v>
      </c>
      <c r="V48" s="58">
        <v>0</v>
      </c>
      <c r="W48" s="90">
        <v>0.5</v>
      </c>
      <c r="X48" s="90">
        <v>0.5</v>
      </c>
      <c r="Y48" s="90">
        <v>0.7</v>
      </c>
      <c r="Z48" s="106">
        <v>0</v>
      </c>
      <c r="AA48" s="105" t="s">
        <v>290</v>
      </c>
      <c r="AB48" s="104" t="s">
        <v>286</v>
      </c>
      <c r="AC48" s="104" t="s">
        <v>285</v>
      </c>
      <c r="AD48" s="104" t="s">
        <v>284</v>
      </c>
      <c r="AE48" s="103" t="s">
        <v>283</v>
      </c>
    </row>
    <row r="49" spans="1:31" s="83" customFormat="1" x14ac:dyDescent="0.25">
      <c r="A49" s="111" t="s">
        <v>2</v>
      </c>
      <c r="B49" s="110" t="s">
        <v>289</v>
      </c>
      <c r="C49" s="109" t="s">
        <v>288</v>
      </c>
      <c r="D49" s="108">
        <v>540</v>
      </c>
      <c r="E49" s="107">
        <v>49</v>
      </c>
      <c r="F49" s="107">
        <v>0</v>
      </c>
      <c r="G49" s="107">
        <v>120</v>
      </c>
      <c r="H49" s="107">
        <v>0</v>
      </c>
      <c r="I49" s="107">
        <v>195</v>
      </c>
      <c r="J49" s="91">
        <v>0.22499999999999998</v>
      </c>
      <c r="K49" s="107">
        <v>0</v>
      </c>
      <c r="L49" s="58" t="b">
        <v>1</v>
      </c>
      <c r="M49" s="59">
        <v>4</v>
      </c>
      <c r="N49" s="59">
        <v>5</v>
      </c>
      <c r="O49" s="58">
        <v>5</v>
      </c>
      <c r="P49" s="59">
        <v>4</v>
      </c>
      <c r="Q49" s="58" t="b">
        <v>1</v>
      </c>
      <c r="R49" s="58" t="b">
        <v>0</v>
      </c>
      <c r="S49" s="58" t="b">
        <v>1</v>
      </c>
      <c r="T49" s="58">
        <v>700</v>
      </c>
      <c r="U49" s="58">
        <v>13</v>
      </c>
      <c r="V49" s="58">
        <v>0</v>
      </c>
      <c r="W49" s="90">
        <v>0.5</v>
      </c>
      <c r="X49" s="90">
        <v>0.5</v>
      </c>
      <c r="Y49" s="90">
        <v>0.7</v>
      </c>
      <c r="Z49" s="106">
        <v>0</v>
      </c>
      <c r="AA49" s="105" t="s">
        <v>287</v>
      </c>
      <c r="AB49" s="104" t="s">
        <v>286</v>
      </c>
      <c r="AC49" s="104" t="s">
        <v>285</v>
      </c>
      <c r="AD49" s="104" t="s">
        <v>284</v>
      </c>
      <c r="AE49" s="103" t="s">
        <v>283</v>
      </c>
    </row>
    <row r="50" spans="1:31" s="83" customFormat="1" x14ac:dyDescent="0.25">
      <c r="A50" s="111" t="s">
        <v>2</v>
      </c>
      <c r="B50" s="110" t="s">
        <v>282</v>
      </c>
      <c r="C50" s="132" t="s">
        <v>84</v>
      </c>
      <c r="D50" s="102">
        <v>60</v>
      </c>
      <c r="E50" s="131">
        <v>4</v>
      </c>
      <c r="F50" s="131">
        <v>0</v>
      </c>
      <c r="G50" s="131">
        <v>30</v>
      </c>
      <c r="H50" s="131">
        <v>100</v>
      </c>
      <c r="I50" s="131">
        <v>55</v>
      </c>
      <c r="J50" s="72">
        <v>0.15</v>
      </c>
      <c r="K50" s="131">
        <v>0</v>
      </c>
      <c r="L50" s="78" t="b">
        <v>1</v>
      </c>
      <c r="M50" s="81">
        <v>5</v>
      </c>
      <c r="N50" s="81">
        <v>5</v>
      </c>
      <c r="O50" s="78">
        <v>1</v>
      </c>
      <c r="P50" s="81">
        <f>entityDefinitions[[#This Row],['[edibleFromTier']]]</f>
        <v>1</v>
      </c>
      <c r="Q50" s="58" t="b">
        <v>1</v>
      </c>
      <c r="R50" s="78" t="b">
        <v>0</v>
      </c>
      <c r="S50" s="78" t="b">
        <v>0</v>
      </c>
      <c r="T50" s="78">
        <v>1</v>
      </c>
      <c r="U50" s="78">
        <v>4</v>
      </c>
      <c r="V50" s="78">
        <v>0</v>
      </c>
      <c r="W50" s="93">
        <v>0.25</v>
      </c>
      <c r="X50" s="93">
        <v>0.25</v>
      </c>
      <c r="Y50" s="93">
        <v>0</v>
      </c>
      <c r="Z50" s="115">
        <v>0</v>
      </c>
      <c r="AA50" s="101" t="s">
        <v>281</v>
      </c>
      <c r="AB50" s="113" t="s">
        <v>143</v>
      </c>
      <c r="AC50" s="113" t="s">
        <v>240</v>
      </c>
      <c r="AD50" s="130"/>
      <c r="AE50" s="129"/>
    </row>
    <row r="51" spans="1:31" s="83" customFormat="1" x14ac:dyDescent="0.25">
      <c r="A51" s="123" t="s">
        <v>2</v>
      </c>
      <c r="B51" s="82" t="s">
        <v>280</v>
      </c>
      <c r="C51" s="132" t="s">
        <v>84</v>
      </c>
      <c r="D51" s="102">
        <v>20</v>
      </c>
      <c r="E51" s="131">
        <v>2</v>
      </c>
      <c r="F51" s="131">
        <v>0</v>
      </c>
      <c r="G51" s="131">
        <v>6</v>
      </c>
      <c r="H51" s="131">
        <v>50</v>
      </c>
      <c r="I51" s="131">
        <v>25</v>
      </c>
      <c r="J51" s="72">
        <v>7.4999999999999997E-2</v>
      </c>
      <c r="K51" s="131">
        <v>0</v>
      </c>
      <c r="L51" s="78" t="b">
        <v>1</v>
      </c>
      <c r="M51" s="81">
        <v>5</v>
      </c>
      <c r="N51" s="81">
        <v>5</v>
      </c>
      <c r="O51" s="78">
        <v>0</v>
      </c>
      <c r="P51" s="81">
        <f>entityDefinitions[[#This Row],['[edibleFromTier']]]</f>
        <v>0</v>
      </c>
      <c r="Q51" s="58" t="b">
        <v>1</v>
      </c>
      <c r="R51" s="78" t="b">
        <v>0</v>
      </c>
      <c r="S51" s="78" t="b">
        <v>0</v>
      </c>
      <c r="T51" s="78">
        <v>1</v>
      </c>
      <c r="U51" s="78">
        <v>3</v>
      </c>
      <c r="V51" s="78">
        <v>0</v>
      </c>
      <c r="W51" s="93">
        <v>0.25</v>
      </c>
      <c r="X51" s="93">
        <v>0.25</v>
      </c>
      <c r="Y51" s="93">
        <v>0</v>
      </c>
      <c r="Z51" s="115">
        <v>0</v>
      </c>
      <c r="AA51" s="101" t="s">
        <v>279</v>
      </c>
      <c r="AB51" s="113" t="s">
        <v>143</v>
      </c>
      <c r="AC51" s="113" t="s">
        <v>240</v>
      </c>
      <c r="AD51" s="130"/>
      <c r="AE51" s="129"/>
    </row>
    <row r="52" spans="1:31" s="83" customFormat="1" x14ac:dyDescent="0.25">
      <c r="A52" s="123" t="s">
        <v>2</v>
      </c>
      <c r="B52" s="82" t="s">
        <v>278</v>
      </c>
      <c r="C52" s="132" t="s">
        <v>84</v>
      </c>
      <c r="D52" s="102">
        <v>20</v>
      </c>
      <c r="E52" s="131">
        <v>2</v>
      </c>
      <c r="F52" s="131">
        <v>0</v>
      </c>
      <c r="G52" s="131">
        <v>2</v>
      </c>
      <c r="H52" s="131">
        <v>0</v>
      </c>
      <c r="I52" s="131">
        <v>25</v>
      </c>
      <c r="J52" s="72">
        <v>7.4999999999999997E-2</v>
      </c>
      <c r="K52" s="131">
        <v>0</v>
      </c>
      <c r="L52" s="78" t="b">
        <v>1</v>
      </c>
      <c r="M52" s="81">
        <v>5</v>
      </c>
      <c r="N52" s="81">
        <v>5</v>
      </c>
      <c r="O52" s="78">
        <v>0</v>
      </c>
      <c r="P52" s="81">
        <f>entityDefinitions[[#This Row],['[edibleFromTier']]]</f>
        <v>0</v>
      </c>
      <c r="Q52" s="58" t="b">
        <v>1</v>
      </c>
      <c r="R52" s="78" t="b">
        <v>0</v>
      </c>
      <c r="S52" s="78" t="b">
        <v>0</v>
      </c>
      <c r="T52" s="78">
        <v>1</v>
      </c>
      <c r="U52" s="78">
        <v>0.5</v>
      </c>
      <c r="V52" s="78">
        <v>0</v>
      </c>
      <c r="W52" s="93">
        <v>0.05</v>
      </c>
      <c r="X52" s="93">
        <v>0.05</v>
      </c>
      <c r="Y52" s="93">
        <v>0</v>
      </c>
      <c r="Z52" s="115">
        <v>0</v>
      </c>
      <c r="AA52" s="101" t="s">
        <v>277</v>
      </c>
      <c r="AB52" s="113" t="s">
        <v>272</v>
      </c>
      <c r="AC52" s="113" t="s">
        <v>271</v>
      </c>
      <c r="AD52" s="130"/>
      <c r="AE52" s="129"/>
    </row>
    <row r="53" spans="1:31" s="83" customFormat="1" x14ac:dyDescent="0.25">
      <c r="A53" s="123" t="s">
        <v>2</v>
      </c>
      <c r="B53" s="82" t="s">
        <v>276</v>
      </c>
      <c r="C53" s="132" t="s">
        <v>84</v>
      </c>
      <c r="D53" s="102">
        <v>20</v>
      </c>
      <c r="E53" s="131">
        <v>2</v>
      </c>
      <c r="F53" s="131">
        <v>0</v>
      </c>
      <c r="G53" s="131">
        <v>2</v>
      </c>
      <c r="H53" s="131">
        <v>0</v>
      </c>
      <c r="I53" s="131">
        <v>25</v>
      </c>
      <c r="J53" s="72">
        <v>7.4999999999999997E-2</v>
      </c>
      <c r="K53" s="131">
        <v>0</v>
      </c>
      <c r="L53" s="78" t="b">
        <v>1</v>
      </c>
      <c r="M53" s="81">
        <v>5</v>
      </c>
      <c r="N53" s="81">
        <v>5</v>
      </c>
      <c r="O53" s="78">
        <v>0</v>
      </c>
      <c r="P53" s="81">
        <f>entityDefinitions[[#This Row],['[edibleFromTier']]]</f>
        <v>0</v>
      </c>
      <c r="Q53" s="58" t="b">
        <v>1</v>
      </c>
      <c r="R53" s="78" t="b">
        <v>0</v>
      </c>
      <c r="S53" s="78" t="b">
        <v>0</v>
      </c>
      <c r="T53" s="78">
        <v>1</v>
      </c>
      <c r="U53" s="78">
        <v>0.5</v>
      </c>
      <c r="V53" s="78">
        <v>0</v>
      </c>
      <c r="W53" s="93">
        <v>0.05</v>
      </c>
      <c r="X53" s="93">
        <v>0.05</v>
      </c>
      <c r="Y53" s="93">
        <v>0</v>
      </c>
      <c r="Z53" s="115">
        <v>0</v>
      </c>
      <c r="AA53" s="101" t="s">
        <v>275</v>
      </c>
      <c r="AB53" s="113" t="s">
        <v>272</v>
      </c>
      <c r="AC53" s="113" t="s">
        <v>271</v>
      </c>
      <c r="AD53" s="130"/>
      <c r="AE53" s="129"/>
    </row>
    <row r="54" spans="1:31" x14ac:dyDescent="0.25">
      <c r="A54" s="123" t="s">
        <v>2</v>
      </c>
      <c r="B54" s="82" t="s">
        <v>274</v>
      </c>
      <c r="C54" s="132" t="s">
        <v>84</v>
      </c>
      <c r="D54" s="102">
        <v>20</v>
      </c>
      <c r="E54" s="131">
        <v>2</v>
      </c>
      <c r="F54" s="131">
        <v>0</v>
      </c>
      <c r="G54" s="131">
        <v>2</v>
      </c>
      <c r="H54" s="131">
        <v>0</v>
      </c>
      <c r="I54" s="131">
        <v>25</v>
      </c>
      <c r="J54" s="72">
        <v>7.4999999999999997E-2</v>
      </c>
      <c r="K54" s="131">
        <v>0</v>
      </c>
      <c r="L54" s="78" t="b">
        <v>1</v>
      </c>
      <c r="M54" s="81">
        <v>5</v>
      </c>
      <c r="N54" s="81">
        <v>5</v>
      </c>
      <c r="O54" s="78">
        <v>0</v>
      </c>
      <c r="P54" s="81">
        <v>0</v>
      </c>
      <c r="Q54" s="58" t="b">
        <v>1</v>
      </c>
      <c r="R54" s="78" t="b">
        <v>0</v>
      </c>
      <c r="S54" s="78" t="b">
        <v>0</v>
      </c>
      <c r="T54" s="78">
        <v>1</v>
      </c>
      <c r="U54" s="78">
        <v>0.5</v>
      </c>
      <c r="V54" s="78">
        <v>0</v>
      </c>
      <c r="W54" s="93">
        <v>0.05</v>
      </c>
      <c r="X54" s="93">
        <v>0.05</v>
      </c>
      <c r="Y54" s="93">
        <v>0</v>
      </c>
      <c r="Z54" s="115">
        <v>0</v>
      </c>
      <c r="AA54" s="101" t="s">
        <v>273</v>
      </c>
      <c r="AB54" s="113" t="s">
        <v>272</v>
      </c>
      <c r="AC54" s="113" t="s">
        <v>271</v>
      </c>
      <c r="AD54" s="130"/>
      <c r="AE54" s="134"/>
    </row>
    <row r="55" spans="1:31" x14ac:dyDescent="0.25">
      <c r="A55" s="123" t="s">
        <v>2</v>
      </c>
      <c r="B55" s="82" t="s">
        <v>270</v>
      </c>
      <c r="C55" s="132" t="s">
        <v>84</v>
      </c>
      <c r="D55" s="102">
        <v>40</v>
      </c>
      <c r="E55" s="131">
        <v>2</v>
      </c>
      <c r="F55" s="131">
        <v>0</v>
      </c>
      <c r="G55" s="131">
        <v>6</v>
      </c>
      <c r="H55" s="131">
        <v>25</v>
      </c>
      <c r="I55" s="131">
        <v>50</v>
      </c>
      <c r="J55" s="72">
        <v>0.15</v>
      </c>
      <c r="K55" s="131">
        <v>0</v>
      </c>
      <c r="L55" s="78" t="b">
        <v>1</v>
      </c>
      <c r="M55" s="81">
        <v>5</v>
      </c>
      <c r="N55" s="81">
        <v>5</v>
      </c>
      <c r="O55" s="78">
        <v>0</v>
      </c>
      <c r="P55" s="81">
        <f>entityDefinitions[[#This Row],['[edibleFromTier']]]</f>
        <v>0</v>
      </c>
      <c r="Q55" s="58" t="b">
        <v>1</v>
      </c>
      <c r="R55" s="78" t="b">
        <v>0</v>
      </c>
      <c r="S55" s="78" t="b">
        <v>0</v>
      </c>
      <c r="T55" s="78">
        <v>1</v>
      </c>
      <c r="U55" s="78">
        <v>3</v>
      </c>
      <c r="V55" s="78">
        <v>0</v>
      </c>
      <c r="W55" s="93">
        <v>0.25</v>
      </c>
      <c r="X55" s="93">
        <v>0.25</v>
      </c>
      <c r="Y55" s="93">
        <v>0</v>
      </c>
      <c r="Z55" s="115">
        <v>0</v>
      </c>
      <c r="AA55" s="101" t="s">
        <v>269</v>
      </c>
      <c r="AB55" s="113" t="s">
        <v>143</v>
      </c>
      <c r="AC55" s="113" t="s">
        <v>21</v>
      </c>
      <c r="AD55" s="130"/>
      <c r="AE55" s="134"/>
    </row>
    <row r="56" spans="1:31" s="83" customFormat="1" x14ac:dyDescent="0.25">
      <c r="A56" s="111" t="s">
        <v>2</v>
      </c>
      <c r="B56" s="110" t="s">
        <v>268</v>
      </c>
      <c r="C56" s="109" t="s">
        <v>61</v>
      </c>
      <c r="D56" s="108">
        <v>60</v>
      </c>
      <c r="E56" s="107">
        <v>2</v>
      </c>
      <c r="F56" s="107">
        <v>1</v>
      </c>
      <c r="G56" s="107">
        <v>70</v>
      </c>
      <c r="H56" s="107">
        <v>0</v>
      </c>
      <c r="I56" s="107">
        <v>75</v>
      </c>
      <c r="J56" s="91">
        <v>0</v>
      </c>
      <c r="K56" s="107">
        <v>1</v>
      </c>
      <c r="L56" s="58" t="b">
        <v>1</v>
      </c>
      <c r="M56" s="59">
        <v>5</v>
      </c>
      <c r="N56" s="59">
        <v>5</v>
      </c>
      <c r="O56" s="58">
        <v>0</v>
      </c>
      <c r="P56" s="59">
        <f>entityDefinitions[[#This Row],['[edibleFromTier']]]</f>
        <v>0</v>
      </c>
      <c r="Q56" s="58" t="b">
        <v>1</v>
      </c>
      <c r="R56" s="58" t="b">
        <v>0</v>
      </c>
      <c r="S56" s="58" t="b">
        <v>0</v>
      </c>
      <c r="T56" s="58">
        <v>1</v>
      </c>
      <c r="U56" s="58">
        <v>4</v>
      </c>
      <c r="V56" s="58">
        <v>0</v>
      </c>
      <c r="W56" s="90">
        <v>0</v>
      </c>
      <c r="X56" s="90">
        <v>0</v>
      </c>
      <c r="Y56" s="90">
        <v>0</v>
      </c>
      <c r="Z56" s="106">
        <v>0</v>
      </c>
      <c r="AA56" s="112" t="s">
        <v>267</v>
      </c>
      <c r="AB56" s="104" t="s">
        <v>266</v>
      </c>
      <c r="AC56" s="104" t="s">
        <v>265</v>
      </c>
      <c r="AD56" s="125"/>
      <c r="AE56" s="124"/>
    </row>
    <row r="57" spans="1:31" s="83" customFormat="1" x14ac:dyDescent="0.25">
      <c r="A57" s="123" t="s">
        <v>2</v>
      </c>
      <c r="B57" s="122" t="s">
        <v>264</v>
      </c>
      <c r="C57" s="121" t="s">
        <v>61</v>
      </c>
      <c r="D57" s="151">
        <v>60</v>
      </c>
      <c r="E57" s="119">
        <v>0</v>
      </c>
      <c r="F57" s="119">
        <v>0</v>
      </c>
      <c r="G57" s="119">
        <v>0</v>
      </c>
      <c r="H57" s="119">
        <v>0</v>
      </c>
      <c r="I57" s="119">
        <v>75</v>
      </c>
      <c r="J57" s="72">
        <v>0</v>
      </c>
      <c r="K57" s="119">
        <v>0</v>
      </c>
      <c r="L57" s="150" t="b">
        <v>0</v>
      </c>
      <c r="M57" s="69">
        <v>5</v>
      </c>
      <c r="N57" s="59">
        <v>5</v>
      </c>
      <c r="O57" s="143">
        <v>0</v>
      </c>
      <c r="P57" s="69">
        <f>entityDefinitions[[#This Row],['[edibleFromTier']]]</f>
        <v>0</v>
      </c>
      <c r="Q57" s="58" t="b">
        <v>1</v>
      </c>
      <c r="R57" s="58" t="b">
        <v>0</v>
      </c>
      <c r="S57" s="126" t="b">
        <v>0</v>
      </c>
      <c r="T57" s="58">
        <v>1</v>
      </c>
      <c r="U57" s="117"/>
      <c r="V57" s="149">
        <v>0</v>
      </c>
      <c r="W57" s="84">
        <v>0</v>
      </c>
      <c r="X57" s="93">
        <v>0</v>
      </c>
      <c r="Y57" s="93">
        <v>0</v>
      </c>
      <c r="Z57" s="115">
        <v>0</v>
      </c>
      <c r="AA57" s="114" t="s">
        <v>263</v>
      </c>
      <c r="AB57" s="113" t="s">
        <v>262</v>
      </c>
      <c r="AC57" s="104" t="s">
        <v>153</v>
      </c>
      <c r="AD57" s="125"/>
      <c r="AE57" s="124"/>
    </row>
    <row r="58" spans="1:31" s="83" customFormat="1" x14ac:dyDescent="0.25">
      <c r="A58" s="123" t="s">
        <v>2</v>
      </c>
      <c r="B58" s="82" t="s">
        <v>261</v>
      </c>
      <c r="C58" s="132" t="s">
        <v>66</v>
      </c>
      <c r="D58" s="102">
        <v>30</v>
      </c>
      <c r="E58" s="131">
        <v>4</v>
      </c>
      <c r="F58" s="131">
        <v>0</v>
      </c>
      <c r="G58" s="131">
        <v>20</v>
      </c>
      <c r="H58" s="131">
        <v>0</v>
      </c>
      <c r="I58" s="131">
        <v>28</v>
      </c>
      <c r="J58" s="72">
        <v>7.4999999999999997E-2</v>
      </c>
      <c r="K58" s="131">
        <v>0</v>
      </c>
      <c r="L58" s="78" t="b">
        <v>1</v>
      </c>
      <c r="M58" s="81">
        <v>5</v>
      </c>
      <c r="N58" s="81">
        <v>5</v>
      </c>
      <c r="O58" s="78">
        <v>1</v>
      </c>
      <c r="P58" s="81">
        <v>1</v>
      </c>
      <c r="Q58" s="58" t="b">
        <v>1</v>
      </c>
      <c r="R58" s="78" t="b">
        <v>0</v>
      </c>
      <c r="S58" s="78" t="b">
        <v>0</v>
      </c>
      <c r="T58" s="78">
        <v>1</v>
      </c>
      <c r="U58" s="78">
        <v>4</v>
      </c>
      <c r="V58" s="78">
        <v>0</v>
      </c>
      <c r="W58" s="93">
        <v>0.1</v>
      </c>
      <c r="X58" s="93">
        <v>0.1</v>
      </c>
      <c r="Y58" s="93">
        <v>1</v>
      </c>
      <c r="Z58" s="115">
        <v>0</v>
      </c>
      <c r="AA58" s="114" t="s">
        <v>260</v>
      </c>
      <c r="AB58" s="113" t="s">
        <v>143</v>
      </c>
      <c r="AC58" s="113" t="s">
        <v>21</v>
      </c>
      <c r="AD58" s="113" t="s">
        <v>259</v>
      </c>
      <c r="AE58" s="133" t="s">
        <v>258</v>
      </c>
    </row>
    <row r="59" spans="1:31" s="83" customFormat="1" x14ac:dyDescent="0.25">
      <c r="A59" s="123" t="s">
        <v>2</v>
      </c>
      <c r="B59" s="82" t="s">
        <v>257</v>
      </c>
      <c r="C59" s="132" t="s">
        <v>66</v>
      </c>
      <c r="D59" s="102">
        <v>220</v>
      </c>
      <c r="E59" s="131">
        <v>21</v>
      </c>
      <c r="F59" s="131">
        <v>0</v>
      </c>
      <c r="G59" s="131">
        <v>3</v>
      </c>
      <c r="H59" s="131">
        <v>0</v>
      </c>
      <c r="I59" s="131">
        <v>95</v>
      </c>
      <c r="J59" s="72">
        <v>0.15</v>
      </c>
      <c r="K59" s="131">
        <v>0</v>
      </c>
      <c r="L59" s="78" t="b">
        <v>1</v>
      </c>
      <c r="M59" s="81">
        <v>5</v>
      </c>
      <c r="N59" s="81">
        <v>5</v>
      </c>
      <c r="O59" s="78">
        <v>3</v>
      </c>
      <c r="P59" s="81">
        <f>entityDefinitions[[#This Row],['[edibleFromTier']]]</f>
        <v>3</v>
      </c>
      <c r="Q59" s="58" t="b">
        <v>1</v>
      </c>
      <c r="R59" s="78" t="b">
        <v>0</v>
      </c>
      <c r="S59" s="78" t="b">
        <v>0</v>
      </c>
      <c r="T59" s="78">
        <v>1</v>
      </c>
      <c r="U59" s="78">
        <v>1</v>
      </c>
      <c r="V59" s="78">
        <v>0</v>
      </c>
      <c r="W59" s="93">
        <v>0.25</v>
      </c>
      <c r="X59" s="93">
        <v>0.25</v>
      </c>
      <c r="Y59" s="93">
        <v>0</v>
      </c>
      <c r="Z59" s="115">
        <v>0</v>
      </c>
      <c r="AA59" s="114" t="s">
        <v>256</v>
      </c>
      <c r="AB59" s="113" t="s">
        <v>251</v>
      </c>
      <c r="AC59" s="113" t="s">
        <v>250</v>
      </c>
      <c r="AD59" s="113" t="s">
        <v>249</v>
      </c>
      <c r="AE59" s="133" t="s">
        <v>248</v>
      </c>
    </row>
    <row r="60" spans="1:31" s="83" customFormat="1" x14ac:dyDescent="0.25">
      <c r="A60" s="123" t="s">
        <v>2</v>
      </c>
      <c r="B60" s="82" t="s">
        <v>255</v>
      </c>
      <c r="C60" s="132" t="s">
        <v>66</v>
      </c>
      <c r="D60" s="102">
        <v>540</v>
      </c>
      <c r="E60" s="131">
        <v>49</v>
      </c>
      <c r="F60" s="131">
        <v>0</v>
      </c>
      <c r="G60" s="131">
        <v>4</v>
      </c>
      <c r="H60" s="131">
        <v>0</v>
      </c>
      <c r="I60" s="131">
        <v>195</v>
      </c>
      <c r="J60" s="72">
        <v>0.22499999999999998</v>
      </c>
      <c r="K60" s="131">
        <v>0</v>
      </c>
      <c r="L60" s="78" t="b">
        <v>1</v>
      </c>
      <c r="M60" s="81">
        <v>5</v>
      </c>
      <c r="N60" s="81">
        <v>5</v>
      </c>
      <c r="O60" s="78">
        <v>4</v>
      </c>
      <c r="P60" s="81">
        <f>entityDefinitions[[#This Row],['[edibleFromTier']]]</f>
        <v>4</v>
      </c>
      <c r="Q60" s="58" t="b">
        <v>1</v>
      </c>
      <c r="R60" s="78" t="b">
        <v>0</v>
      </c>
      <c r="S60" s="78" t="b">
        <v>0</v>
      </c>
      <c r="T60" s="78">
        <v>1</v>
      </c>
      <c r="U60" s="78">
        <v>1</v>
      </c>
      <c r="V60" s="78">
        <v>0</v>
      </c>
      <c r="W60" s="93">
        <v>0.25</v>
      </c>
      <c r="X60" s="93">
        <v>0.25</v>
      </c>
      <c r="Y60" s="93">
        <v>0</v>
      </c>
      <c r="Z60" s="115">
        <v>0</v>
      </c>
      <c r="AA60" s="114" t="s">
        <v>254</v>
      </c>
      <c r="AB60" s="113" t="s">
        <v>251</v>
      </c>
      <c r="AC60" s="113" t="s">
        <v>250</v>
      </c>
      <c r="AD60" s="113" t="s">
        <v>249</v>
      </c>
      <c r="AE60" s="133" t="s">
        <v>248</v>
      </c>
    </row>
    <row r="61" spans="1:31" s="83" customFormat="1" x14ac:dyDescent="0.25">
      <c r="A61" s="123" t="s">
        <v>2</v>
      </c>
      <c r="B61" s="82" t="s">
        <v>253</v>
      </c>
      <c r="C61" s="132" t="s">
        <v>66</v>
      </c>
      <c r="D61" s="102">
        <v>810</v>
      </c>
      <c r="E61" s="131">
        <v>121</v>
      </c>
      <c r="F61" s="131">
        <v>0</v>
      </c>
      <c r="G61" s="131">
        <v>5</v>
      </c>
      <c r="H61" s="131">
        <v>0</v>
      </c>
      <c r="I61" s="131">
        <v>263</v>
      </c>
      <c r="J61" s="72">
        <v>0.22499999999999998</v>
      </c>
      <c r="K61" s="131">
        <v>0</v>
      </c>
      <c r="L61" s="78" t="b">
        <v>0</v>
      </c>
      <c r="M61" s="81">
        <v>5</v>
      </c>
      <c r="N61" s="81">
        <v>5</v>
      </c>
      <c r="O61" s="78">
        <v>5</v>
      </c>
      <c r="P61" s="81">
        <f>entityDefinitions[[#This Row],['[edibleFromTier']]]</f>
        <v>5</v>
      </c>
      <c r="Q61" s="58" t="b">
        <v>1</v>
      </c>
      <c r="R61" s="78" t="b">
        <v>0</v>
      </c>
      <c r="S61" s="78" t="b">
        <v>0</v>
      </c>
      <c r="T61" s="78">
        <v>1</v>
      </c>
      <c r="U61" s="78">
        <v>1</v>
      </c>
      <c r="V61" s="78">
        <v>0</v>
      </c>
      <c r="W61" s="93">
        <v>0.25</v>
      </c>
      <c r="X61" s="93">
        <v>0.25</v>
      </c>
      <c r="Y61" s="93">
        <v>0</v>
      </c>
      <c r="Z61" s="115">
        <v>0</v>
      </c>
      <c r="AA61" s="114" t="s">
        <v>252</v>
      </c>
      <c r="AB61" s="113" t="s">
        <v>251</v>
      </c>
      <c r="AC61" s="113" t="s">
        <v>250</v>
      </c>
      <c r="AD61" s="113" t="s">
        <v>249</v>
      </c>
      <c r="AE61" s="113" t="s">
        <v>248</v>
      </c>
    </row>
    <row r="62" spans="1:31" x14ac:dyDescent="0.25">
      <c r="A62" s="123" t="s">
        <v>2</v>
      </c>
      <c r="B62" s="110" t="s">
        <v>247</v>
      </c>
      <c r="C62" s="132" t="s">
        <v>242</v>
      </c>
      <c r="D62" s="102">
        <v>90</v>
      </c>
      <c r="E62" s="131">
        <v>4</v>
      </c>
      <c r="F62" s="131">
        <v>0</v>
      </c>
      <c r="G62" s="131">
        <v>10</v>
      </c>
      <c r="H62" s="131">
        <v>10</v>
      </c>
      <c r="I62" s="131">
        <v>83</v>
      </c>
      <c r="J62" s="72">
        <v>0.22499999999999998</v>
      </c>
      <c r="K62" s="131">
        <v>0</v>
      </c>
      <c r="L62" s="78" t="b">
        <v>0</v>
      </c>
      <c r="M62" s="81">
        <v>5</v>
      </c>
      <c r="N62" s="81">
        <v>5</v>
      </c>
      <c r="O62" s="143">
        <v>1</v>
      </c>
      <c r="P62" s="69">
        <v>1</v>
      </c>
      <c r="Q62" s="58" t="b">
        <v>1</v>
      </c>
      <c r="R62" s="58" t="b">
        <v>0</v>
      </c>
      <c r="S62" s="58" t="b">
        <v>0</v>
      </c>
      <c r="T62" s="58">
        <v>200</v>
      </c>
      <c r="U62" s="117">
        <v>200</v>
      </c>
      <c r="V62" s="58">
        <v>0</v>
      </c>
      <c r="W62" s="90">
        <v>0.25</v>
      </c>
      <c r="X62" s="93">
        <v>0.25</v>
      </c>
      <c r="Y62" s="93">
        <v>0.8</v>
      </c>
      <c r="Z62" s="115">
        <v>0</v>
      </c>
      <c r="AA62" s="105" t="s">
        <v>246</v>
      </c>
      <c r="AB62" s="104" t="s">
        <v>245</v>
      </c>
      <c r="AC62" s="104" t="s">
        <v>153</v>
      </c>
      <c r="AD62" s="104" t="s">
        <v>244</v>
      </c>
      <c r="AE62" s="104" t="s">
        <v>239</v>
      </c>
    </row>
    <row r="63" spans="1:31" x14ac:dyDescent="0.25">
      <c r="A63" s="123" t="s">
        <v>2</v>
      </c>
      <c r="B63" s="110" t="s">
        <v>243</v>
      </c>
      <c r="C63" s="132" t="s">
        <v>242</v>
      </c>
      <c r="D63" s="137">
        <v>90</v>
      </c>
      <c r="E63" s="136">
        <v>4</v>
      </c>
      <c r="F63" s="136">
        <v>0</v>
      </c>
      <c r="G63" s="136">
        <v>200</v>
      </c>
      <c r="H63" s="136">
        <v>10</v>
      </c>
      <c r="I63" s="136">
        <v>83</v>
      </c>
      <c r="J63" s="99">
        <v>0.22499999999999998</v>
      </c>
      <c r="K63" s="136">
        <v>0</v>
      </c>
      <c r="L63" s="78" t="b">
        <v>0</v>
      </c>
      <c r="M63" s="81">
        <v>5</v>
      </c>
      <c r="N63" s="81">
        <v>5</v>
      </c>
      <c r="O63" s="143">
        <v>1</v>
      </c>
      <c r="P63" s="69">
        <v>1</v>
      </c>
      <c r="Q63" s="58" t="b">
        <v>1</v>
      </c>
      <c r="R63" s="58" t="b">
        <v>0</v>
      </c>
      <c r="S63" s="58" t="b">
        <v>0</v>
      </c>
      <c r="T63" s="58">
        <v>200</v>
      </c>
      <c r="U63" s="117">
        <v>200</v>
      </c>
      <c r="V63" s="58">
        <v>0</v>
      </c>
      <c r="W63" s="90">
        <v>0.25</v>
      </c>
      <c r="X63" s="93">
        <v>0.25</v>
      </c>
      <c r="Y63" s="93">
        <v>0.8</v>
      </c>
      <c r="Z63" s="115">
        <v>0</v>
      </c>
      <c r="AA63" s="105" t="s">
        <v>241</v>
      </c>
      <c r="AB63" s="104" t="s">
        <v>105</v>
      </c>
      <c r="AC63" s="104" t="s">
        <v>240</v>
      </c>
      <c r="AD63" s="104" t="s">
        <v>117</v>
      </c>
      <c r="AE63" s="104" t="s">
        <v>239</v>
      </c>
    </row>
    <row r="64" spans="1:31" x14ac:dyDescent="0.25">
      <c r="A64" s="111" t="s">
        <v>2</v>
      </c>
      <c r="B64" s="110" t="s">
        <v>238</v>
      </c>
      <c r="C64" s="109" t="s">
        <v>61</v>
      </c>
      <c r="D64" s="108">
        <v>60</v>
      </c>
      <c r="E64" s="107">
        <v>3</v>
      </c>
      <c r="F64" s="107">
        <v>0</v>
      </c>
      <c r="G64" s="107">
        <v>0</v>
      </c>
      <c r="H64" s="107">
        <v>0</v>
      </c>
      <c r="I64" s="107">
        <v>75</v>
      </c>
      <c r="J64" s="91">
        <v>1</v>
      </c>
      <c r="K64" s="107">
        <v>0</v>
      </c>
      <c r="L64" s="58" t="b">
        <v>0</v>
      </c>
      <c r="M64" s="59">
        <v>5</v>
      </c>
      <c r="N64" s="59">
        <v>5</v>
      </c>
      <c r="O64" s="58">
        <v>0</v>
      </c>
      <c r="P64" s="59">
        <f>entityDefinitions[[#This Row],['[edibleFromTier']]]</f>
        <v>0</v>
      </c>
      <c r="Q64" s="58" t="b">
        <v>1</v>
      </c>
      <c r="R64" s="58" t="b">
        <v>0</v>
      </c>
      <c r="S64" s="58" t="b">
        <v>0</v>
      </c>
      <c r="T64" s="58">
        <v>1</v>
      </c>
      <c r="U64" s="58"/>
      <c r="V64" s="58">
        <v>0</v>
      </c>
      <c r="W64" s="90">
        <v>0</v>
      </c>
      <c r="X64" s="90">
        <v>0</v>
      </c>
      <c r="Y64" s="90">
        <v>0</v>
      </c>
      <c r="Z64" s="106">
        <v>0</v>
      </c>
      <c r="AA64" s="112" t="s">
        <v>237</v>
      </c>
      <c r="AB64" s="104" t="s">
        <v>59</v>
      </c>
      <c r="AC64" s="104" t="s">
        <v>58</v>
      </c>
      <c r="AD64" s="125"/>
      <c r="AE64" s="124"/>
    </row>
    <row r="65" spans="1:31" s="83" customFormat="1" x14ac:dyDescent="0.25">
      <c r="A65" s="111" t="s">
        <v>2</v>
      </c>
      <c r="B65" s="110" t="s">
        <v>236</v>
      </c>
      <c r="C65" s="109" t="s">
        <v>61</v>
      </c>
      <c r="D65" s="108">
        <v>20</v>
      </c>
      <c r="E65" s="107">
        <v>2</v>
      </c>
      <c r="F65" s="107">
        <v>0</v>
      </c>
      <c r="G65" s="107">
        <v>0</v>
      </c>
      <c r="H65" s="107">
        <v>0</v>
      </c>
      <c r="I65" s="107">
        <v>25</v>
      </c>
      <c r="J65" s="91">
        <v>0</v>
      </c>
      <c r="K65" s="107">
        <v>0</v>
      </c>
      <c r="L65" s="58" t="b">
        <v>0</v>
      </c>
      <c r="M65" s="59">
        <v>5</v>
      </c>
      <c r="N65" s="59">
        <v>5</v>
      </c>
      <c r="O65" s="58">
        <v>0</v>
      </c>
      <c r="P65" s="59">
        <f>entityDefinitions[[#This Row],['[edibleFromTier']]]</f>
        <v>0</v>
      </c>
      <c r="Q65" s="58" t="b">
        <v>1</v>
      </c>
      <c r="R65" s="58" t="b">
        <v>0</v>
      </c>
      <c r="S65" s="58" t="b">
        <v>0</v>
      </c>
      <c r="T65" s="58">
        <v>1</v>
      </c>
      <c r="U65" s="58"/>
      <c r="V65" s="58">
        <v>0</v>
      </c>
      <c r="W65" s="90">
        <v>0</v>
      </c>
      <c r="X65" s="90">
        <v>0</v>
      </c>
      <c r="Y65" s="90">
        <v>0</v>
      </c>
      <c r="Z65" s="106">
        <v>0</v>
      </c>
      <c r="AA65" s="105" t="s">
        <v>235</v>
      </c>
      <c r="AB65" s="104" t="s">
        <v>59</v>
      </c>
      <c r="AC65" s="104" t="s">
        <v>58</v>
      </c>
      <c r="AD65" s="125"/>
      <c r="AE65" s="124"/>
    </row>
    <row r="66" spans="1:31" s="83" customFormat="1" x14ac:dyDescent="0.25">
      <c r="A66" s="111" t="s">
        <v>2</v>
      </c>
      <c r="B66" s="110" t="s">
        <v>234</v>
      </c>
      <c r="C66" s="109" t="s">
        <v>66</v>
      </c>
      <c r="D66" s="108">
        <v>40</v>
      </c>
      <c r="E66" s="107">
        <v>2</v>
      </c>
      <c r="F66" s="107">
        <v>0</v>
      </c>
      <c r="G66" s="107">
        <v>20</v>
      </c>
      <c r="H66" s="107">
        <v>0</v>
      </c>
      <c r="I66" s="107">
        <v>50</v>
      </c>
      <c r="J66" s="91">
        <v>0.15</v>
      </c>
      <c r="K66" s="107">
        <v>0</v>
      </c>
      <c r="L66" s="58" t="b">
        <v>1</v>
      </c>
      <c r="M66" s="59">
        <v>5</v>
      </c>
      <c r="N66" s="59">
        <v>0</v>
      </c>
      <c r="O66" s="58">
        <v>1</v>
      </c>
      <c r="P66" s="59">
        <v>0</v>
      </c>
      <c r="Q66" s="58" t="b">
        <v>1</v>
      </c>
      <c r="R66" s="58" t="b">
        <v>1</v>
      </c>
      <c r="S66" s="58" t="b">
        <v>0</v>
      </c>
      <c r="T66" s="58">
        <v>75</v>
      </c>
      <c r="U66" s="58">
        <v>7</v>
      </c>
      <c r="V66" s="58">
        <v>0</v>
      </c>
      <c r="W66" s="90">
        <v>0.25</v>
      </c>
      <c r="X66" s="90">
        <v>0.25</v>
      </c>
      <c r="Y66" s="90">
        <v>0</v>
      </c>
      <c r="Z66" s="106">
        <v>0</v>
      </c>
      <c r="AA66" s="101" t="s">
        <v>79</v>
      </c>
      <c r="AB66" s="113" t="s">
        <v>78</v>
      </c>
      <c r="AC66" s="113" t="s">
        <v>77</v>
      </c>
      <c r="AD66" s="113" t="s">
        <v>76</v>
      </c>
      <c r="AE66" s="133" t="s">
        <v>75</v>
      </c>
    </row>
    <row r="67" spans="1:31" s="83" customFormat="1" x14ac:dyDescent="0.25">
      <c r="A67" s="123" t="s">
        <v>2</v>
      </c>
      <c r="B67" s="122" t="s">
        <v>233</v>
      </c>
      <c r="C67" s="121" t="s">
        <v>66</v>
      </c>
      <c r="D67" s="120">
        <v>110</v>
      </c>
      <c r="E67" s="119">
        <v>21</v>
      </c>
      <c r="F67" s="119">
        <v>0</v>
      </c>
      <c r="G67" s="119">
        <v>15</v>
      </c>
      <c r="H67" s="119">
        <v>0</v>
      </c>
      <c r="I67" s="119">
        <v>48</v>
      </c>
      <c r="J67" s="72">
        <v>7.4999999999999997E-2</v>
      </c>
      <c r="K67" s="119">
        <v>0</v>
      </c>
      <c r="L67" s="78" t="b">
        <v>1</v>
      </c>
      <c r="M67" s="69">
        <v>5</v>
      </c>
      <c r="N67" s="69">
        <v>5</v>
      </c>
      <c r="O67" s="143">
        <v>3</v>
      </c>
      <c r="P67" s="69">
        <v>3</v>
      </c>
      <c r="Q67" s="58" t="b">
        <v>1</v>
      </c>
      <c r="R67" s="58" t="b">
        <v>0</v>
      </c>
      <c r="S67" s="58" t="b">
        <v>0</v>
      </c>
      <c r="T67" s="58">
        <v>1</v>
      </c>
      <c r="U67" s="117">
        <v>7</v>
      </c>
      <c r="V67" s="58">
        <v>0</v>
      </c>
      <c r="W67" s="93">
        <v>0.25</v>
      </c>
      <c r="X67" s="93">
        <v>0.25</v>
      </c>
      <c r="Y67" s="93">
        <v>0</v>
      </c>
      <c r="Z67" s="115">
        <v>0</v>
      </c>
      <c r="AA67" s="114" t="s">
        <v>232</v>
      </c>
      <c r="AB67" s="113" t="s">
        <v>231</v>
      </c>
      <c r="AC67" s="104" t="s">
        <v>166</v>
      </c>
      <c r="AD67" s="104" t="s">
        <v>117</v>
      </c>
      <c r="AE67" s="138"/>
    </row>
    <row r="68" spans="1:31" s="83" customFormat="1" x14ac:dyDescent="0.25">
      <c r="A68" s="123" t="s">
        <v>2</v>
      </c>
      <c r="B68" s="122" t="s">
        <v>230</v>
      </c>
      <c r="C68" s="121" t="s">
        <v>66</v>
      </c>
      <c r="D68" s="120">
        <v>220</v>
      </c>
      <c r="E68" s="119">
        <v>21</v>
      </c>
      <c r="F68" s="119">
        <v>0</v>
      </c>
      <c r="G68" s="119">
        <v>50</v>
      </c>
      <c r="H68" s="119">
        <v>0</v>
      </c>
      <c r="I68" s="119">
        <v>95</v>
      </c>
      <c r="J68" s="72">
        <v>0.15</v>
      </c>
      <c r="K68" s="119">
        <v>0</v>
      </c>
      <c r="L68" s="96" t="b">
        <v>1</v>
      </c>
      <c r="M68" s="69">
        <v>3</v>
      </c>
      <c r="N68" s="69">
        <v>5</v>
      </c>
      <c r="O68" s="118">
        <v>4</v>
      </c>
      <c r="P68" s="69">
        <v>3</v>
      </c>
      <c r="Q68" s="58" t="b">
        <v>1</v>
      </c>
      <c r="R68" s="58" t="b">
        <v>0</v>
      </c>
      <c r="S68" s="126" t="b">
        <v>1</v>
      </c>
      <c r="T68" s="58">
        <v>700</v>
      </c>
      <c r="U68" s="126">
        <v>12</v>
      </c>
      <c r="V68" s="97">
        <v>0</v>
      </c>
      <c r="W68" s="93">
        <v>0.1</v>
      </c>
      <c r="X68" s="116">
        <v>0.25</v>
      </c>
      <c r="Y68" s="116">
        <v>0</v>
      </c>
      <c r="Z68" s="115">
        <v>0</v>
      </c>
      <c r="AA68" s="145" t="s">
        <v>205</v>
      </c>
      <c r="AB68" s="130" t="s">
        <v>204</v>
      </c>
      <c r="AC68" s="125" t="s">
        <v>203</v>
      </c>
      <c r="AD68" s="125"/>
      <c r="AE68" s="138"/>
    </row>
    <row r="69" spans="1:31" x14ac:dyDescent="0.25">
      <c r="A69" s="123" t="s">
        <v>2</v>
      </c>
      <c r="B69" s="148" t="s">
        <v>229</v>
      </c>
      <c r="C69" s="147" t="s">
        <v>66</v>
      </c>
      <c r="D69" s="120">
        <v>220</v>
      </c>
      <c r="E69" s="119">
        <v>21</v>
      </c>
      <c r="F69" s="119">
        <v>0</v>
      </c>
      <c r="G69" s="119">
        <v>25</v>
      </c>
      <c r="H69" s="119">
        <v>0</v>
      </c>
      <c r="I69" s="119">
        <v>95</v>
      </c>
      <c r="J69" s="72">
        <v>0.15</v>
      </c>
      <c r="K69" s="119">
        <v>0</v>
      </c>
      <c r="L69" s="96" t="b">
        <v>1</v>
      </c>
      <c r="M69" s="69">
        <v>5</v>
      </c>
      <c r="N69" s="69">
        <v>5</v>
      </c>
      <c r="O69" s="118">
        <v>3</v>
      </c>
      <c r="P69" s="69">
        <v>3</v>
      </c>
      <c r="Q69" s="58" t="b">
        <v>1</v>
      </c>
      <c r="R69" s="58" t="b">
        <v>0</v>
      </c>
      <c r="S69" s="126" t="b">
        <v>0</v>
      </c>
      <c r="T69" s="58">
        <v>1</v>
      </c>
      <c r="U69" s="117">
        <v>9</v>
      </c>
      <c r="V69" s="58">
        <v>0</v>
      </c>
      <c r="W69" s="93">
        <v>0.25</v>
      </c>
      <c r="X69" s="93">
        <v>0.25</v>
      </c>
      <c r="Y69" s="93">
        <v>0</v>
      </c>
      <c r="Z69" s="115">
        <v>0</v>
      </c>
      <c r="AA69" s="145" t="s">
        <v>205</v>
      </c>
      <c r="AB69" s="130" t="s">
        <v>204</v>
      </c>
      <c r="AC69" s="125" t="s">
        <v>203</v>
      </c>
      <c r="AD69" s="125"/>
      <c r="AE69" s="138"/>
    </row>
    <row r="70" spans="1:31" x14ac:dyDescent="0.25">
      <c r="A70" s="123" t="s">
        <v>2</v>
      </c>
      <c r="B70" s="82" t="s">
        <v>228</v>
      </c>
      <c r="C70" s="132" t="s">
        <v>68</v>
      </c>
      <c r="D70" s="137">
        <v>90</v>
      </c>
      <c r="E70" s="136">
        <v>4</v>
      </c>
      <c r="F70" s="136">
        <v>0</v>
      </c>
      <c r="G70" s="136">
        <v>400</v>
      </c>
      <c r="H70" s="136">
        <v>0</v>
      </c>
      <c r="I70" s="136">
        <v>83</v>
      </c>
      <c r="J70" s="99">
        <v>0.22499999999999998</v>
      </c>
      <c r="K70" s="136">
        <v>0</v>
      </c>
      <c r="L70" s="78" t="b">
        <v>1</v>
      </c>
      <c r="M70" s="81">
        <v>5</v>
      </c>
      <c r="N70" s="81">
        <v>5</v>
      </c>
      <c r="O70" s="78">
        <v>1</v>
      </c>
      <c r="P70" s="81">
        <v>2</v>
      </c>
      <c r="Q70" s="58" t="b">
        <v>1</v>
      </c>
      <c r="R70" s="78" t="b">
        <v>0</v>
      </c>
      <c r="S70" s="78" t="b">
        <v>0</v>
      </c>
      <c r="T70" s="78">
        <v>1</v>
      </c>
      <c r="U70" s="78">
        <v>0</v>
      </c>
      <c r="V70" s="78">
        <v>0</v>
      </c>
      <c r="W70" s="93">
        <v>0.1</v>
      </c>
      <c r="X70" s="93">
        <v>0.1</v>
      </c>
      <c r="Y70" s="93">
        <v>1</v>
      </c>
      <c r="Z70" s="115">
        <v>0</v>
      </c>
      <c r="AA70" s="114" t="s">
        <v>227</v>
      </c>
      <c r="AB70" s="113" t="s">
        <v>102</v>
      </c>
      <c r="AC70" s="113" t="s">
        <v>226</v>
      </c>
      <c r="AD70" s="113" t="s">
        <v>117</v>
      </c>
      <c r="AE70" s="113" t="s">
        <v>225</v>
      </c>
    </row>
    <row r="71" spans="1:31" s="24" customFormat="1" x14ac:dyDescent="0.25">
      <c r="A71" s="123" t="s">
        <v>2</v>
      </c>
      <c r="B71" s="82" t="s">
        <v>224</v>
      </c>
      <c r="C71" s="132" t="s">
        <v>84</v>
      </c>
      <c r="D71" s="102">
        <v>20</v>
      </c>
      <c r="E71" s="131">
        <v>2</v>
      </c>
      <c r="F71" s="131">
        <v>0</v>
      </c>
      <c r="G71" s="131">
        <v>20</v>
      </c>
      <c r="H71" s="131">
        <v>0</v>
      </c>
      <c r="I71" s="131">
        <v>25</v>
      </c>
      <c r="J71" s="72">
        <v>7.4999999999999997E-2</v>
      </c>
      <c r="K71" s="131">
        <v>0</v>
      </c>
      <c r="L71" s="78" t="b">
        <v>1</v>
      </c>
      <c r="M71" s="81">
        <v>5</v>
      </c>
      <c r="N71" s="81">
        <v>5</v>
      </c>
      <c r="O71" s="78">
        <v>0</v>
      </c>
      <c r="P71" s="81">
        <f>entityDefinitions[[#This Row],['[edibleFromTier']]]</f>
        <v>0</v>
      </c>
      <c r="Q71" s="58" t="b">
        <v>1</v>
      </c>
      <c r="R71" s="78" t="b">
        <v>0</v>
      </c>
      <c r="S71" s="78" t="b">
        <v>0</v>
      </c>
      <c r="T71" s="78">
        <v>1</v>
      </c>
      <c r="U71" s="78">
        <v>3</v>
      </c>
      <c r="V71" s="78">
        <v>0</v>
      </c>
      <c r="W71" s="93" t="s">
        <v>223</v>
      </c>
      <c r="X71" s="93">
        <v>0.2</v>
      </c>
      <c r="Y71" s="93">
        <v>1</v>
      </c>
      <c r="Z71" s="115">
        <v>0</v>
      </c>
      <c r="AA71" s="105" t="s">
        <v>222</v>
      </c>
      <c r="AB71" s="113" t="s">
        <v>221</v>
      </c>
      <c r="AC71" s="113" t="s">
        <v>220</v>
      </c>
      <c r="AD71" s="113" t="s">
        <v>219</v>
      </c>
      <c r="AE71" s="113" t="s">
        <v>218</v>
      </c>
    </row>
    <row r="72" spans="1:31" s="24" customFormat="1" x14ac:dyDescent="0.25">
      <c r="A72" s="123" t="s">
        <v>2</v>
      </c>
      <c r="B72" s="82" t="s">
        <v>217</v>
      </c>
      <c r="C72" s="132" t="s">
        <v>84</v>
      </c>
      <c r="D72" s="102">
        <v>90</v>
      </c>
      <c r="E72" s="131">
        <v>4</v>
      </c>
      <c r="F72" s="131">
        <v>0</v>
      </c>
      <c r="G72" s="131">
        <v>25</v>
      </c>
      <c r="H72" s="131">
        <v>0</v>
      </c>
      <c r="I72" s="131">
        <v>83</v>
      </c>
      <c r="J72" s="72">
        <v>0.22499999999999998</v>
      </c>
      <c r="K72" s="131">
        <v>0</v>
      </c>
      <c r="L72" s="78" t="b">
        <v>1</v>
      </c>
      <c r="M72" s="81">
        <v>5</v>
      </c>
      <c r="N72" s="81">
        <v>1</v>
      </c>
      <c r="O72" s="78">
        <v>3</v>
      </c>
      <c r="P72" s="81">
        <v>1</v>
      </c>
      <c r="Q72" s="58" t="b">
        <v>1</v>
      </c>
      <c r="R72" s="78" t="b">
        <v>1</v>
      </c>
      <c r="S72" s="78" t="b">
        <v>0</v>
      </c>
      <c r="T72" s="78">
        <v>100</v>
      </c>
      <c r="U72" s="78">
        <v>7</v>
      </c>
      <c r="V72" s="78">
        <v>0</v>
      </c>
      <c r="W72" s="93">
        <v>0.25</v>
      </c>
      <c r="X72" s="93">
        <v>0.25</v>
      </c>
      <c r="Y72" s="93">
        <v>0</v>
      </c>
      <c r="Z72" s="115">
        <v>0</v>
      </c>
      <c r="AA72" s="101" t="s">
        <v>205</v>
      </c>
      <c r="AB72" s="113" t="s">
        <v>204</v>
      </c>
      <c r="AC72" s="113" t="s">
        <v>203</v>
      </c>
      <c r="AD72" s="130"/>
      <c r="AE72" s="134"/>
    </row>
    <row r="73" spans="1:31" s="24" customFormat="1" x14ac:dyDescent="0.25">
      <c r="A73" s="111" t="s">
        <v>2</v>
      </c>
      <c r="B73" s="110" t="s">
        <v>216</v>
      </c>
      <c r="C73" s="109" t="s">
        <v>68</v>
      </c>
      <c r="D73" s="108">
        <v>60</v>
      </c>
      <c r="E73" s="107">
        <v>2</v>
      </c>
      <c r="F73" s="107">
        <v>0</v>
      </c>
      <c r="G73" s="107">
        <v>32</v>
      </c>
      <c r="H73" s="107">
        <v>0</v>
      </c>
      <c r="I73" s="107">
        <v>75</v>
      </c>
      <c r="J73" s="91">
        <v>0.22499999999999998</v>
      </c>
      <c r="K73" s="107">
        <v>0</v>
      </c>
      <c r="L73" s="58" t="b">
        <v>1</v>
      </c>
      <c r="M73" s="59">
        <v>5</v>
      </c>
      <c r="N73" s="59">
        <v>5</v>
      </c>
      <c r="O73" s="58">
        <v>0</v>
      </c>
      <c r="P73" s="59">
        <f>entityDefinitions[[#This Row],['[edibleFromTier']]]</f>
        <v>0</v>
      </c>
      <c r="Q73" s="58" t="b">
        <v>1</v>
      </c>
      <c r="R73" s="58" t="b">
        <v>0</v>
      </c>
      <c r="S73" s="58" t="b">
        <v>0</v>
      </c>
      <c r="T73" s="58">
        <v>1</v>
      </c>
      <c r="U73" s="58">
        <v>6</v>
      </c>
      <c r="V73" s="58">
        <v>0</v>
      </c>
      <c r="W73" s="90">
        <v>0.25</v>
      </c>
      <c r="X73" s="90">
        <v>0.25</v>
      </c>
      <c r="Y73" s="90">
        <v>0.8</v>
      </c>
      <c r="Z73" s="106">
        <v>0</v>
      </c>
      <c r="AA73" s="105" t="s">
        <v>215</v>
      </c>
      <c r="AB73" s="104" t="s">
        <v>214</v>
      </c>
      <c r="AC73" s="104" t="s">
        <v>213</v>
      </c>
      <c r="AD73" s="104" t="s">
        <v>212</v>
      </c>
      <c r="AE73" s="104" t="s">
        <v>211</v>
      </c>
    </row>
    <row r="74" spans="1:31" s="24" customFormat="1" x14ac:dyDescent="0.25">
      <c r="A74" s="123" t="s">
        <v>2</v>
      </c>
      <c r="B74" s="82" t="s">
        <v>210</v>
      </c>
      <c r="C74" s="132" t="s">
        <v>84</v>
      </c>
      <c r="D74" s="102">
        <v>120</v>
      </c>
      <c r="E74" s="131">
        <v>9</v>
      </c>
      <c r="F74" s="131">
        <v>0</v>
      </c>
      <c r="G74" s="131">
        <v>10</v>
      </c>
      <c r="H74" s="131">
        <v>0</v>
      </c>
      <c r="I74" s="131">
        <v>70</v>
      </c>
      <c r="J74" s="72">
        <v>0.15</v>
      </c>
      <c r="K74" s="131">
        <v>0</v>
      </c>
      <c r="L74" s="78" t="b">
        <v>1</v>
      </c>
      <c r="M74" s="81">
        <v>5</v>
      </c>
      <c r="N74" s="81">
        <v>5</v>
      </c>
      <c r="O74" s="78">
        <v>2</v>
      </c>
      <c r="P74" s="81">
        <v>2</v>
      </c>
      <c r="Q74" s="58" t="b">
        <v>1</v>
      </c>
      <c r="R74" s="78" t="b">
        <v>0</v>
      </c>
      <c r="S74" s="78" t="b">
        <v>0</v>
      </c>
      <c r="T74" s="78">
        <v>1</v>
      </c>
      <c r="U74" s="78">
        <v>4</v>
      </c>
      <c r="V74" s="78">
        <v>0</v>
      </c>
      <c r="W74" s="93">
        <v>0.25</v>
      </c>
      <c r="X74" s="93">
        <v>0.25</v>
      </c>
      <c r="Y74" s="93">
        <v>0</v>
      </c>
      <c r="Z74" s="115">
        <v>0</v>
      </c>
      <c r="AA74" s="114" t="s">
        <v>209</v>
      </c>
      <c r="AB74" s="113" t="s">
        <v>208</v>
      </c>
      <c r="AC74" s="113" t="s">
        <v>207</v>
      </c>
      <c r="AD74" s="113" t="s">
        <v>117</v>
      </c>
      <c r="AE74" s="113" t="s">
        <v>139</v>
      </c>
    </row>
    <row r="75" spans="1:31" x14ac:dyDescent="0.25">
      <c r="A75" s="123" t="s">
        <v>2</v>
      </c>
      <c r="B75" s="148" t="s">
        <v>206</v>
      </c>
      <c r="C75" s="147" t="s">
        <v>66</v>
      </c>
      <c r="D75" s="120">
        <v>220</v>
      </c>
      <c r="E75" s="119">
        <v>21</v>
      </c>
      <c r="F75" s="119">
        <v>0</v>
      </c>
      <c r="G75" s="119">
        <v>50</v>
      </c>
      <c r="H75" s="119">
        <v>0</v>
      </c>
      <c r="I75" s="119">
        <v>95</v>
      </c>
      <c r="J75" s="72">
        <v>0.15</v>
      </c>
      <c r="K75" s="119">
        <v>0</v>
      </c>
      <c r="L75" s="96" t="b">
        <v>1</v>
      </c>
      <c r="M75" s="69">
        <v>3</v>
      </c>
      <c r="N75" s="69">
        <v>5</v>
      </c>
      <c r="O75" s="118">
        <v>4</v>
      </c>
      <c r="P75" s="69">
        <v>3</v>
      </c>
      <c r="Q75" s="58" t="b">
        <v>1</v>
      </c>
      <c r="R75" s="126" t="b">
        <v>0</v>
      </c>
      <c r="S75" s="58" t="b">
        <v>1</v>
      </c>
      <c r="T75" s="58">
        <v>800</v>
      </c>
      <c r="U75" s="58">
        <v>12</v>
      </c>
      <c r="V75" s="58">
        <v>0</v>
      </c>
      <c r="W75" s="93">
        <v>0.25</v>
      </c>
      <c r="X75" s="93">
        <v>0.25</v>
      </c>
      <c r="Y75" s="146">
        <v>0</v>
      </c>
      <c r="Z75" s="115">
        <v>0</v>
      </c>
      <c r="AA75" s="145" t="s">
        <v>205</v>
      </c>
      <c r="AB75" s="130" t="s">
        <v>204</v>
      </c>
      <c r="AC75" s="125" t="s">
        <v>203</v>
      </c>
      <c r="AD75" s="125"/>
      <c r="AE75" s="138"/>
    </row>
    <row r="76" spans="1:31" s="83" customFormat="1" x14ac:dyDescent="0.25">
      <c r="A76" s="111" t="s">
        <v>2</v>
      </c>
      <c r="B76" s="110" t="s">
        <v>202</v>
      </c>
      <c r="C76" s="109" t="s">
        <v>90</v>
      </c>
      <c r="D76" s="108">
        <v>60</v>
      </c>
      <c r="E76" s="107">
        <v>2</v>
      </c>
      <c r="F76" s="107">
        <v>0</v>
      </c>
      <c r="G76" s="107">
        <v>20</v>
      </c>
      <c r="H76" s="107">
        <v>0</v>
      </c>
      <c r="I76" s="107">
        <v>75</v>
      </c>
      <c r="J76" s="91">
        <v>0.22499999999999998</v>
      </c>
      <c r="K76" s="107">
        <v>0</v>
      </c>
      <c r="L76" s="58" t="b">
        <v>1</v>
      </c>
      <c r="M76" s="59">
        <v>5</v>
      </c>
      <c r="N76" s="59">
        <v>0</v>
      </c>
      <c r="O76" s="58">
        <v>1</v>
      </c>
      <c r="P76" s="59">
        <v>0</v>
      </c>
      <c r="Q76" s="58" t="b">
        <v>1</v>
      </c>
      <c r="R76" s="58" t="b">
        <v>1</v>
      </c>
      <c r="S76" s="58" t="b">
        <v>0</v>
      </c>
      <c r="T76" s="58">
        <v>75</v>
      </c>
      <c r="U76" s="58">
        <v>7</v>
      </c>
      <c r="V76" s="58">
        <v>0</v>
      </c>
      <c r="W76" s="90">
        <v>0.25</v>
      </c>
      <c r="X76" s="90">
        <v>0.25</v>
      </c>
      <c r="Y76" s="90">
        <v>0.7</v>
      </c>
      <c r="Z76" s="106">
        <v>0</v>
      </c>
      <c r="AA76" s="105" t="s">
        <v>201</v>
      </c>
      <c r="AB76" s="104" t="s">
        <v>200</v>
      </c>
      <c r="AC76" s="104" t="s">
        <v>199</v>
      </c>
      <c r="AD76" s="104" t="s">
        <v>198</v>
      </c>
      <c r="AE76" s="104" t="s">
        <v>197</v>
      </c>
    </row>
    <row r="77" spans="1:31" s="83" customFormat="1" x14ac:dyDescent="0.25">
      <c r="A77" s="123" t="s">
        <v>2</v>
      </c>
      <c r="B77" s="82" t="s">
        <v>196</v>
      </c>
      <c r="C77" s="132" t="s">
        <v>24</v>
      </c>
      <c r="D77" s="102">
        <v>810</v>
      </c>
      <c r="E77" s="131">
        <v>121</v>
      </c>
      <c r="F77" s="131">
        <v>0</v>
      </c>
      <c r="G77" s="131">
        <v>0</v>
      </c>
      <c r="H77" s="131">
        <v>0</v>
      </c>
      <c r="I77" s="131">
        <v>263</v>
      </c>
      <c r="J77" s="72">
        <v>0.22499999999999998</v>
      </c>
      <c r="K77" s="131">
        <v>0</v>
      </c>
      <c r="L77" s="78" t="b">
        <v>0</v>
      </c>
      <c r="M77" s="81">
        <v>5</v>
      </c>
      <c r="N77" s="81">
        <v>5</v>
      </c>
      <c r="O77" s="78">
        <v>5</v>
      </c>
      <c r="P77" s="81">
        <f>entityDefinitions[[#This Row],['[edibleFromTier']]]</f>
        <v>5</v>
      </c>
      <c r="Q77" s="58" t="b">
        <v>1</v>
      </c>
      <c r="R77" s="78" t="b">
        <v>0</v>
      </c>
      <c r="S77" s="78" t="b">
        <v>0</v>
      </c>
      <c r="T77" s="78">
        <v>1</v>
      </c>
      <c r="U77" s="78">
        <v>1</v>
      </c>
      <c r="V77" s="78">
        <v>0</v>
      </c>
      <c r="W77" s="93">
        <v>0.15</v>
      </c>
      <c r="X77" s="93">
        <v>0.15</v>
      </c>
      <c r="Y77" s="93">
        <v>1</v>
      </c>
      <c r="Z77" s="115">
        <v>1</v>
      </c>
      <c r="AA77" s="101" t="s">
        <v>195</v>
      </c>
      <c r="AB77" s="113" t="s">
        <v>186</v>
      </c>
      <c r="AC77" s="113" t="s">
        <v>185</v>
      </c>
      <c r="AD77" s="113" t="s">
        <v>184</v>
      </c>
      <c r="AE77" s="113" t="s">
        <v>183</v>
      </c>
    </row>
    <row r="78" spans="1:31" s="83" customFormat="1" x14ac:dyDescent="0.25">
      <c r="A78" s="123" t="s">
        <v>2</v>
      </c>
      <c r="B78" s="82" t="s">
        <v>194</v>
      </c>
      <c r="C78" s="132" t="s">
        <v>24</v>
      </c>
      <c r="D78" s="102">
        <v>540</v>
      </c>
      <c r="E78" s="131">
        <v>121</v>
      </c>
      <c r="F78" s="131">
        <v>0</v>
      </c>
      <c r="G78" s="131">
        <v>0</v>
      </c>
      <c r="H78" s="131">
        <v>0</v>
      </c>
      <c r="I78" s="131">
        <v>175</v>
      </c>
      <c r="J78" s="72">
        <v>0.15</v>
      </c>
      <c r="K78" s="131">
        <v>0</v>
      </c>
      <c r="L78" s="78" t="b">
        <v>0</v>
      </c>
      <c r="M78" s="81">
        <v>5</v>
      </c>
      <c r="N78" s="81">
        <v>5</v>
      </c>
      <c r="O78" s="78">
        <v>5</v>
      </c>
      <c r="P78" s="81">
        <v>5</v>
      </c>
      <c r="Q78" s="58" t="b">
        <v>1</v>
      </c>
      <c r="R78" s="78" t="b">
        <v>0</v>
      </c>
      <c r="S78" s="78" t="b">
        <v>0</v>
      </c>
      <c r="T78" s="78">
        <v>1</v>
      </c>
      <c r="U78" s="78">
        <v>1</v>
      </c>
      <c r="V78" s="78">
        <v>0</v>
      </c>
      <c r="W78" s="93">
        <v>0.15</v>
      </c>
      <c r="X78" s="93">
        <v>0.15</v>
      </c>
      <c r="Y78" s="93">
        <v>1</v>
      </c>
      <c r="Z78" s="115">
        <v>1</v>
      </c>
      <c r="AA78" s="114" t="s">
        <v>187</v>
      </c>
      <c r="AB78" s="113" t="s">
        <v>186</v>
      </c>
      <c r="AC78" s="113" t="s">
        <v>185</v>
      </c>
      <c r="AD78" s="113" t="s">
        <v>184</v>
      </c>
      <c r="AE78" s="113" t="s">
        <v>183</v>
      </c>
    </row>
    <row r="79" spans="1:31" s="83" customFormat="1" x14ac:dyDescent="0.25">
      <c r="A79" s="123" t="s">
        <v>2</v>
      </c>
      <c r="B79" s="82" t="s">
        <v>193</v>
      </c>
      <c r="C79" s="132" t="s">
        <v>24</v>
      </c>
      <c r="D79" s="102">
        <v>360</v>
      </c>
      <c r="E79" s="131">
        <v>49</v>
      </c>
      <c r="F79" s="131">
        <v>0</v>
      </c>
      <c r="G79" s="131">
        <v>2</v>
      </c>
      <c r="H79" s="131">
        <v>0</v>
      </c>
      <c r="I79" s="131">
        <v>130</v>
      </c>
      <c r="J79" s="72">
        <v>0.15</v>
      </c>
      <c r="K79" s="131">
        <v>0</v>
      </c>
      <c r="L79" s="78" t="b">
        <v>1</v>
      </c>
      <c r="M79" s="81">
        <v>5</v>
      </c>
      <c r="N79" s="81">
        <v>5</v>
      </c>
      <c r="O79" s="78">
        <v>4</v>
      </c>
      <c r="P79" s="81">
        <v>4</v>
      </c>
      <c r="Q79" s="58" t="b">
        <v>1</v>
      </c>
      <c r="R79" s="78" t="b">
        <v>0</v>
      </c>
      <c r="S79" s="78" t="b">
        <v>0</v>
      </c>
      <c r="T79" s="78">
        <v>1</v>
      </c>
      <c r="U79" s="78">
        <v>1</v>
      </c>
      <c r="V79" s="78">
        <v>0</v>
      </c>
      <c r="W79" s="93">
        <v>0.15</v>
      </c>
      <c r="X79" s="93">
        <v>0.15</v>
      </c>
      <c r="Y79" s="93">
        <v>1</v>
      </c>
      <c r="Z79" s="115">
        <v>1</v>
      </c>
      <c r="AA79" s="101" t="s">
        <v>192</v>
      </c>
      <c r="AB79" s="113" t="s">
        <v>186</v>
      </c>
      <c r="AC79" s="113" t="s">
        <v>191</v>
      </c>
      <c r="AD79" s="113" t="s">
        <v>190</v>
      </c>
      <c r="AE79" s="113" t="s">
        <v>189</v>
      </c>
    </row>
    <row r="80" spans="1:31" s="83" customFormat="1" x14ac:dyDescent="0.25">
      <c r="A80" s="123" t="s">
        <v>2</v>
      </c>
      <c r="B80" s="82" t="s">
        <v>188</v>
      </c>
      <c r="C80" s="132" t="s">
        <v>24</v>
      </c>
      <c r="D80" s="144">
        <v>270</v>
      </c>
      <c r="E80" s="131">
        <v>121</v>
      </c>
      <c r="F80" s="131">
        <v>0</v>
      </c>
      <c r="G80" s="131">
        <v>0</v>
      </c>
      <c r="H80" s="131">
        <v>0</v>
      </c>
      <c r="I80" s="131">
        <v>88</v>
      </c>
      <c r="J80" s="85">
        <v>7.4999999999999997E-2</v>
      </c>
      <c r="K80" s="131">
        <v>0</v>
      </c>
      <c r="L80" s="78" t="b">
        <v>0</v>
      </c>
      <c r="M80" s="142">
        <v>5</v>
      </c>
      <c r="N80" s="142">
        <v>5</v>
      </c>
      <c r="O80" s="143">
        <v>5</v>
      </c>
      <c r="P80" s="142">
        <v>5</v>
      </c>
      <c r="Q80" s="140" t="b">
        <v>1</v>
      </c>
      <c r="R80" s="141" t="b">
        <v>0</v>
      </c>
      <c r="S80" s="141" t="b">
        <v>0</v>
      </c>
      <c r="T80" s="140">
        <v>1</v>
      </c>
      <c r="U80" s="117">
        <v>1</v>
      </c>
      <c r="V80" s="58">
        <v>0</v>
      </c>
      <c r="W80" s="84">
        <v>0.25</v>
      </c>
      <c r="X80" s="93">
        <v>0.25</v>
      </c>
      <c r="Y80" s="93">
        <v>1</v>
      </c>
      <c r="Z80" s="115">
        <v>0.25</v>
      </c>
      <c r="AA80" s="139" t="s">
        <v>187</v>
      </c>
      <c r="AB80" s="130" t="s">
        <v>186</v>
      </c>
      <c r="AC80" s="125" t="s">
        <v>185</v>
      </c>
      <c r="AD80" s="125" t="s">
        <v>184</v>
      </c>
      <c r="AE80" s="138" t="s">
        <v>183</v>
      </c>
    </row>
    <row r="81" spans="1:31" s="83" customFormat="1" x14ac:dyDescent="0.25">
      <c r="A81" s="123" t="s">
        <v>2</v>
      </c>
      <c r="B81" s="122" t="s">
        <v>182</v>
      </c>
      <c r="C81" s="121" t="s">
        <v>66</v>
      </c>
      <c r="D81" s="120">
        <v>220</v>
      </c>
      <c r="E81" s="119">
        <v>21</v>
      </c>
      <c r="F81" s="119">
        <v>0</v>
      </c>
      <c r="G81" s="119">
        <v>15</v>
      </c>
      <c r="H81" s="119">
        <v>0</v>
      </c>
      <c r="I81" s="119">
        <v>95</v>
      </c>
      <c r="J81" s="72">
        <v>0.15</v>
      </c>
      <c r="K81" s="119">
        <v>0</v>
      </c>
      <c r="L81" s="96" t="b">
        <v>1</v>
      </c>
      <c r="M81" s="69">
        <v>5</v>
      </c>
      <c r="N81" s="69">
        <v>5</v>
      </c>
      <c r="O81" s="118">
        <v>4</v>
      </c>
      <c r="P81" s="69">
        <v>4</v>
      </c>
      <c r="Q81" s="58" t="b">
        <v>1</v>
      </c>
      <c r="R81" s="58" t="b">
        <v>0</v>
      </c>
      <c r="S81" s="126" t="b">
        <v>0</v>
      </c>
      <c r="T81" s="58">
        <v>1</v>
      </c>
      <c r="U81" s="117">
        <v>12</v>
      </c>
      <c r="V81" s="58">
        <v>0</v>
      </c>
      <c r="W81" s="93">
        <v>0.1</v>
      </c>
      <c r="X81" s="93">
        <v>0.1</v>
      </c>
      <c r="Y81" s="93">
        <v>0</v>
      </c>
      <c r="Z81" s="115">
        <v>0</v>
      </c>
      <c r="AA81" s="114" t="s">
        <v>181</v>
      </c>
      <c r="AB81" s="113" t="s">
        <v>180</v>
      </c>
      <c r="AC81" s="104" t="s">
        <v>81</v>
      </c>
      <c r="AD81" s="125"/>
      <c r="AE81" s="138"/>
    </row>
    <row r="82" spans="1:31" s="83" customFormat="1" x14ac:dyDescent="0.25">
      <c r="A82" s="123" t="s">
        <v>2</v>
      </c>
      <c r="B82" s="122" t="s">
        <v>179</v>
      </c>
      <c r="C82" s="121" t="s">
        <v>84</v>
      </c>
      <c r="D82" s="137">
        <v>30</v>
      </c>
      <c r="E82" s="136">
        <v>4</v>
      </c>
      <c r="F82" s="136">
        <v>0</v>
      </c>
      <c r="G82" s="136">
        <v>10</v>
      </c>
      <c r="H82" s="136">
        <v>0</v>
      </c>
      <c r="I82" s="136">
        <v>28</v>
      </c>
      <c r="J82" s="99">
        <v>7.4999999999999997E-2</v>
      </c>
      <c r="K82" s="136">
        <v>0</v>
      </c>
      <c r="L82" s="96" t="b">
        <v>1</v>
      </c>
      <c r="M82" s="81">
        <v>5</v>
      </c>
      <c r="N82" s="81">
        <v>5</v>
      </c>
      <c r="O82" s="96">
        <v>1</v>
      </c>
      <c r="P82" s="81">
        <v>1</v>
      </c>
      <c r="Q82" s="97" t="b">
        <v>1</v>
      </c>
      <c r="R82" s="96" t="b">
        <v>0</v>
      </c>
      <c r="S82" s="96" t="b">
        <v>0</v>
      </c>
      <c r="T82" s="96">
        <v>1</v>
      </c>
      <c r="U82" s="96">
        <v>4</v>
      </c>
      <c r="V82" s="96">
        <v>0</v>
      </c>
      <c r="W82" s="93">
        <v>0.25</v>
      </c>
      <c r="X82" s="93">
        <v>0.25</v>
      </c>
      <c r="Y82" s="93">
        <v>0</v>
      </c>
      <c r="Z82" s="115">
        <v>0</v>
      </c>
      <c r="AA82" s="114" t="s">
        <v>178</v>
      </c>
      <c r="AB82" s="113" t="s">
        <v>175</v>
      </c>
      <c r="AC82" s="113" t="s">
        <v>174</v>
      </c>
      <c r="AD82" s="113"/>
      <c r="AE82" s="135"/>
    </row>
    <row r="83" spans="1:31" x14ac:dyDescent="0.25">
      <c r="A83" s="123" t="s">
        <v>2</v>
      </c>
      <c r="B83" s="122" t="s">
        <v>177</v>
      </c>
      <c r="C83" s="121" t="s">
        <v>84</v>
      </c>
      <c r="D83" s="137">
        <v>40</v>
      </c>
      <c r="E83" s="136">
        <v>2</v>
      </c>
      <c r="F83" s="136">
        <v>0</v>
      </c>
      <c r="G83" s="136">
        <v>6</v>
      </c>
      <c r="H83" s="136">
        <v>0</v>
      </c>
      <c r="I83" s="136">
        <v>50</v>
      </c>
      <c r="J83" s="99">
        <v>0.15</v>
      </c>
      <c r="K83" s="136">
        <v>0</v>
      </c>
      <c r="L83" s="96" t="b">
        <v>1</v>
      </c>
      <c r="M83" s="81">
        <v>5</v>
      </c>
      <c r="N83" s="81">
        <v>5</v>
      </c>
      <c r="O83" s="96">
        <v>0</v>
      </c>
      <c r="P83" s="81">
        <f>entityDefinitions[[#This Row],['[edibleFromTier']]]</f>
        <v>0</v>
      </c>
      <c r="Q83" s="97" t="b">
        <v>1</v>
      </c>
      <c r="R83" s="96" t="b">
        <v>0</v>
      </c>
      <c r="S83" s="96" t="b">
        <v>0</v>
      </c>
      <c r="T83" s="96">
        <v>1</v>
      </c>
      <c r="U83" s="96">
        <v>3</v>
      </c>
      <c r="V83" s="96">
        <v>0</v>
      </c>
      <c r="W83" s="93">
        <v>0.25</v>
      </c>
      <c r="X83" s="93">
        <v>0.25</v>
      </c>
      <c r="Y83" s="93">
        <v>0</v>
      </c>
      <c r="Z83" s="115">
        <v>0</v>
      </c>
      <c r="AA83" s="114" t="s">
        <v>176</v>
      </c>
      <c r="AB83" s="113" t="s">
        <v>175</v>
      </c>
      <c r="AC83" s="113" t="s">
        <v>174</v>
      </c>
      <c r="AD83" s="113"/>
      <c r="AE83" s="135"/>
    </row>
    <row r="84" spans="1:31" x14ac:dyDescent="0.25">
      <c r="A84" s="123" t="s">
        <v>2</v>
      </c>
      <c r="B84" s="82" t="s">
        <v>173</v>
      </c>
      <c r="C84" s="132" t="s">
        <v>84</v>
      </c>
      <c r="D84" s="102">
        <v>30</v>
      </c>
      <c r="E84" s="131">
        <v>4</v>
      </c>
      <c r="F84" s="131">
        <v>0</v>
      </c>
      <c r="G84" s="131">
        <v>5</v>
      </c>
      <c r="H84" s="131">
        <v>0</v>
      </c>
      <c r="I84" s="131">
        <v>28</v>
      </c>
      <c r="J84" s="72">
        <v>7.4999999999999997E-2</v>
      </c>
      <c r="K84" s="131">
        <v>0</v>
      </c>
      <c r="L84" s="78" t="b">
        <v>1</v>
      </c>
      <c r="M84" s="81">
        <v>5</v>
      </c>
      <c r="N84" s="81">
        <v>5</v>
      </c>
      <c r="O84" s="78">
        <v>1</v>
      </c>
      <c r="P84" s="81">
        <v>1</v>
      </c>
      <c r="Q84" s="58" t="b">
        <v>1</v>
      </c>
      <c r="R84" s="78" t="b">
        <v>0</v>
      </c>
      <c r="S84" s="78" t="b">
        <v>0</v>
      </c>
      <c r="T84" s="78">
        <v>1</v>
      </c>
      <c r="U84" s="78">
        <v>1</v>
      </c>
      <c r="V84" s="78">
        <v>0</v>
      </c>
      <c r="W84" s="93">
        <v>0.05</v>
      </c>
      <c r="X84" s="93">
        <v>0.05</v>
      </c>
      <c r="Y84" s="93">
        <v>1</v>
      </c>
      <c r="Z84" s="115">
        <v>0</v>
      </c>
      <c r="AA84" s="101" t="s">
        <v>172</v>
      </c>
      <c r="AB84" s="113" t="s">
        <v>171</v>
      </c>
      <c r="AC84" s="113" t="s">
        <v>170</v>
      </c>
      <c r="AD84" s="113" t="s">
        <v>152</v>
      </c>
      <c r="AE84" s="113" t="s">
        <v>151</v>
      </c>
    </row>
    <row r="85" spans="1:31" x14ac:dyDescent="0.25">
      <c r="A85" s="123" t="s">
        <v>2</v>
      </c>
      <c r="B85" s="82" t="s">
        <v>169</v>
      </c>
      <c r="C85" s="132" t="s">
        <v>84</v>
      </c>
      <c r="D85" s="102">
        <v>60</v>
      </c>
      <c r="E85" s="131">
        <v>9</v>
      </c>
      <c r="F85" s="131">
        <v>0</v>
      </c>
      <c r="G85" s="131">
        <v>8</v>
      </c>
      <c r="H85" s="131">
        <v>0</v>
      </c>
      <c r="I85" s="131">
        <v>35</v>
      </c>
      <c r="J85" s="72">
        <v>7.4999999999999997E-2</v>
      </c>
      <c r="K85" s="131">
        <v>0</v>
      </c>
      <c r="L85" s="78" t="b">
        <v>1</v>
      </c>
      <c r="M85" s="81">
        <v>5</v>
      </c>
      <c r="N85" s="81">
        <v>5</v>
      </c>
      <c r="O85" s="78">
        <v>0</v>
      </c>
      <c r="P85" s="81">
        <v>0</v>
      </c>
      <c r="Q85" s="58" t="b">
        <v>1</v>
      </c>
      <c r="R85" s="78" t="b">
        <v>0</v>
      </c>
      <c r="S85" s="78" t="b">
        <v>0</v>
      </c>
      <c r="T85" s="78">
        <v>1</v>
      </c>
      <c r="U85" s="78">
        <v>4</v>
      </c>
      <c r="V85" s="78">
        <v>0</v>
      </c>
      <c r="W85" s="93">
        <v>0.1</v>
      </c>
      <c r="X85" s="93">
        <v>0.1</v>
      </c>
      <c r="Y85" s="93">
        <v>0.5</v>
      </c>
      <c r="Z85" s="115">
        <v>0</v>
      </c>
      <c r="AA85" s="114" t="s">
        <v>168</v>
      </c>
      <c r="AB85" s="113" t="s">
        <v>167</v>
      </c>
      <c r="AC85" s="113" t="s">
        <v>166</v>
      </c>
      <c r="AD85" s="130"/>
      <c r="AE85" s="134"/>
    </row>
    <row r="86" spans="1:31" x14ac:dyDescent="0.25">
      <c r="A86" s="123" t="s">
        <v>2</v>
      </c>
      <c r="B86" s="82" t="s">
        <v>165</v>
      </c>
      <c r="C86" s="132" t="s">
        <v>84</v>
      </c>
      <c r="D86" s="102">
        <v>20</v>
      </c>
      <c r="E86" s="131">
        <v>2</v>
      </c>
      <c r="F86" s="131">
        <v>0</v>
      </c>
      <c r="G86" s="131">
        <v>2</v>
      </c>
      <c r="H86" s="131">
        <v>0</v>
      </c>
      <c r="I86" s="131">
        <v>25</v>
      </c>
      <c r="J86" s="72">
        <v>7.4999999999999997E-2</v>
      </c>
      <c r="K86" s="131">
        <v>0</v>
      </c>
      <c r="L86" s="78" t="b">
        <v>1</v>
      </c>
      <c r="M86" s="81">
        <v>5</v>
      </c>
      <c r="N86" s="81">
        <v>5</v>
      </c>
      <c r="O86" s="78">
        <v>0</v>
      </c>
      <c r="P86" s="81">
        <f>entityDefinitions[[#This Row],['[edibleFromTier']]]</f>
        <v>0</v>
      </c>
      <c r="Q86" s="58" t="b">
        <v>1</v>
      </c>
      <c r="R86" s="78" t="b">
        <v>0</v>
      </c>
      <c r="S86" s="78" t="b">
        <v>0</v>
      </c>
      <c r="T86" s="78">
        <v>1</v>
      </c>
      <c r="U86" s="78">
        <v>2</v>
      </c>
      <c r="V86" s="78">
        <v>0</v>
      </c>
      <c r="W86" s="93">
        <v>0.1</v>
      </c>
      <c r="X86" s="93">
        <v>0.1</v>
      </c>
      <c r="Y86" s="93">
        <v>0</v>
      </c>
      <c r="Z86" s="115">
        <v>0</v>
      </c>
      <c r="AA86" s="114" t="s">
        <v>164</v>
      </c>
      <c r="AB86" s="113" t="s">
        <v>163</v>
      </c>
      <c r="AC86" s="113" t="s">
        <v>162</v>
      </c>
      <c r="AD86" s="130"/>
      <c r="AE86" s="134"/>
    </row>
    <row r="87" spans="1:31" x14ac:dyDescent="0.25">
      <c r="A87" s="123" t="s">
        <v>2</v>
      </c>
      <c r="B87" s="82" t="s">
        <v>161</v>
      </c>
      <c r="C87" s="132" t="s">
        <v>84</v>
      </c>
      <c r="D87" s="102">
        <v>120</v>
      </c>
      <c r="E87" s="131">
        <v>9</v>
      </c>
      <c r="F87" s="131">
        <v>0</v>
      </c>
      <c r="G87" s="131">
        <v>20</v>
      </c>
      <c r="H87" s="131">
        <v>0</v>
      </c>
      <c r="I87" s="131">
        <v>70</v>
      </c>
      <c r="J87" s="72">
        <v>0.15</v>
      </c>
      <c r="K87" s="131">
        <v>0</v>
      </c>
      <c r="L87" s="78" t="b">
        <v>1</v>
      </c>
      <c r="M87" s="81">
        <v>5</v>
      </c>
      <c r="N87" s="81">
        <v>5</v>
      </c>
      <c r="O87" s="78">
        <v>2</v>
      </c>
      <c r="P87" s="81">
        <f>entityDefinitions[[#This Row],['[edibleFromTier']]]</f>
        <v>2</v>
      </c>
      <c r="Q87" s="58" t="b">
        <v>1</v>
      </c>
      <c r="R87" s="78" t="b">
        <v>0</v>
      </c>
      <c r="S87" s="78" t="b">
        <v>0</v>
      </c>
      <c r="T87" s="78">
        <v>1</v>
      </c>
      <c r="U87" s="78">
        <v>7</v>
      </c>
      <c r="V87" s="78">
        <v>0</v>
      </c>
      <c r="W87" s="93">
        <v>0.1</v>
      </c>
      <c r="X87" s="93">
        <v>0.1</v>
      </c>
      <c r="Y87" s="93">
        <v>0.5</v>
      </c>
      <c r="Z87" s="115">
        <v>0</v>
      </c>
      <c r="AA87" s="101" t="s">
        <v>160</v>
      </c>
      <c r="AB87" s="113" t="s">
        <v>102</v>
      </c>
      <c r="AC87" s="113" t="s">
        <v>21</v>
      </c>
      <c r="AD87" s="113" t="s">
        <v>139</v>
      </c>
      <c r="AE87" s="113" t="s">
        <v>139</v>
      </c>
    </row>
    <row r="88" spans="1:31" x14ac:dyDescent="0.25">
      <c r="A88" s="111" t="s">
        <v>2</v>
      </c>
      <c r="B88" s="110" t="s">
        <v>159</v>
      </c>
      <c r="C88" s="109" t="s">
        <v>90</v>
      </c>
      <c r="D88" s="108">
        <v>60</v>
      </c>
      <c r="E88" s="107">
        <v>2</v>
      </c>
      <c r="F88" s="107">
        <v>0</v>
      </c>
      <c r="G88" s="107">
        <v>15</v>
      </c>
      <c r="H88" s="107">
        <v>0</v>
      </c>
      <c r="I88" s="107">
        <v>75</v>
      </c>
      <c r="J88" s="91">
        <v>0.22499999999999998</v>
      </c>
      <c r="K88" s="107">
        <v>0</v>
      </c>
      <c r="L88" s="58" t="b">
        <v>1</v>
      </c>
      <c r="M88" s="59">
        <v>5</v>
      </c>
      <c r="N88" s="59">
        <v>0</v>
      </c>
      <c r="O88" s="58">
        <v>1</v>
      </c>
      <c r="P88" s="59">
        <v>0</v>
      </c>
      <c r="Q88" s="58" t="b">
        <v>1</v>
      </c>
      <c r="R88" s="58" t="b">
        <v>1</v>
      </c>
      <c r="S88" s="58" t="b">
        <v>0</v>
      </c>
      <c r="T88" s="58">
        <v>80</v>
      </c>
      <c r="U88" s="58">
        <v>7</v>
      </c>
      <c r="V88" s="58">
        <v>0</v>
      </c>
      <c r="W88" s="90">
        <v>0.25</v>
      </c>
      <c r="X88" s="90">
        <v>0.25</v>
      </c>
      <c r="Y88" s="90">
        <v>0</v>
      </c>
      <c r="Z88" s="106">
        <v>0</v>
      </c>
      <c r="AA88" s="112" t="s">
        <v>158</v>
      </c>
      <c r="AB88" s="104" t="s">
        <v>157</v>
      </c>
      <c r="AC88" s="104" t="s">
        <v>156</v>
      </c>
      <c r="AD88" s="125"/>
      <c r="AE88" s="124"/>
    </row>
    <row r="89" spans="1:31" x14ac:dyDescent="0.25">
      <c r="A89" s="123" t="s">
        <v>2</v>
      </c>
      <c r="B89" s="82" t="s">
        <v>155</v>
      </c>
      <c r="C89" s="132" t="s">
        <v>84</v>
      </c>
      <c r="D89" s="102">
        <v>90</v>
      </c>
      <c r="E89" s="131">
        <v>4</v>
      </c>
      <c r="F89" s="131">
        <v>0</v>
      </c>
      <c r="G89" s="131">
        <v>30</v>
      </c>
      <c r="H89" s="131">
        <v>0</v>
      </c>
      <c r="I89" s="131">
        <v>83</v>
      </c>
      <c r="J89" s="72">
        <v>0.22499999999999998</v>
      </c>
      <c r="K89" s="131">
        <v>0</v>
      </c>
      <c r="L89" s="78" t="b">
        <v>1</v>
      </c>
      <c r="M89" s="81">
        <v>5</v>
      </c>
      <c r="N89" s="81">
        <v>5</v>
      </c>
      <c r="O89" s="78">
        <v>1</v>
      </c>
      <c r="P89" s="81">
        <v>1</v>
      </c>
      <c r="Q89" s="58" t="b">
        <v>1</v>
      </c>
      <c r="R89" s="78" t="b">
        <v>0</v>
      </c>
      <c r="S89" s="78" t="b">
        <v>0</v>
      </c>
      <c r="T89" s="78">
        <v>1</v>
      </c>
      <c r="U89" s="78">
        <v>1</v>
      </c>
      <c r="V89" s="78">
        <v>0</v>
      </c>
      <c r="W89" s="93">
        <v>0.05</v>
      </c>
      <c r="X89" s="93">
        <v>0.05</v>
      </c>
      <c r="Y89" s="93">
        <v>1</v>
      </c>
      <c r="Z89" s="115">
        <v>0</v>
      </c>
      <c r="AA89" s="114" t="s">
        <v>154</v>
      </c>
      <c r="AB89" s="113" t="s">
        <v>102</v>
      </c>
      <c r="AC89" s="113" t="s">
        <v>153</v>
      </c>
      <c r="AD89" s="113" t="s">
        <v>152</v>
      </c>
      <c r="AE89" s="133" t="s">
        <v>151</v>
      </c>
    </row>
    <row r="90" spans="1:31" x14ac:dyDescent="0.25">
      <c r="A90" s="123" t="s">
        <v>2</v>
      </c>
      <c r="B90" s="82" t="s">
        <v>150</v>
      </c>
      <c r="C90" s="132" t="s">
        <v>84</v>
      </c>
      <c r="D90" s="102">
        <v>60</v>
      </c>
      <c r="E90" s="131">
        <v>2</v>
      </c>
      <c r="F90" s="131">
        <v>0</v>
      </c>
      <c r="G90" s="131">
        <v>7</v>
      </c>
      <c r="H90" s="131">
        <v>0</v>
      </c>
      <c r="I90" s="131">
        <v>75</v>
      </c>
      <c r="J90" s="72">
        <v>0.22499999999999998</v>
      </c>
      <c r="K90" s="131">
        <v>0</v>
      </c>
      <c r="L90" s="78" t="b">
        <v>1</v>
      </c>
      <c r="M90" s="81">
        <v>5</v>
      </c>
      <c r="N90" s="81">
        <v>0</v>
      </c>
      <c r="O90" s="78">
        <v>1</v>
      </c>
      <c r="P90" s="81">
        <v>0</v>
      </c>
      <c r="Q90" s="58" t="b">
        <v>1</v>
      </c>
      <c r="R90" s="78" t="b">
        <v>1</v>
      </c>
      <c r="S90" s="78" t="b">
        <v>0</v>
      </c>
      <c r="T90" s="78">
        <v>20</v>
      </c>
      <c r="U90" s="78">
        <v>5</v>
      </c>
      <c r="V90" s="78">
        <v>0</v>
      </c>
      <c r="W90" s="93">
        <v>0.1</v>
      </c>
      <c r="X90" s="93">
        <v>0.1</v>
      </c>
      <c r="Y90" s="93">
        <v>0</v>
      </c>
      <c r="Z90" s="115">
        <v>0</v>
      </c>
      <c r="AA90" s="101" t="s">
        <v>149</v>
      </c>
      <c r="AB90" s="113" t="s">
        <v>148</v>
      </c>
      <c r="AC90" s="113" t="s">
        <v>147</v>
      </c>
      <c r="AD90" s="130"/>
      <c r="AE90" s="129"/>
    </row>
    <row r="91" spans="1:31" s="83" customFormat="1" x14ac:dyDescent="0.25">
      <c r="A91" s="111" t="s">
        <v>2</v>
      </c>
      <c r="B91" s="110" t="s">
        <v>146</v>
      </c>
      <c r="C91" s="109" t="s">
        <v>90</v>
      </c>
      <c r="D91" s="108">
        <v>180</v>
      </c>
      <c r="E91" s="107">
        <v>9</v>
      </c>
      <c r="F91" s="107">
        <v>0</v>
      </c>
      <c r="G91" s="107">
        <v>30</v>
      </c>
      <c r="H91" s="107">
        <v>0</v>
      </c>
      <c r="I91" s="107">
        <v>105</v>
      </c>
      <c r="J91" s="91">
        <v>0.22499999999999998</v>
      </c>
      <c r="K91" s="107">
        <v>0</v>
      </c>
      <c r="L91" s="58" t="b">
        <v>1</v>
      </c>
      <c r="M91" s="59">
        <v>5</v>
      </c>
      <c r="N91" s="59">
        <v>2</v>
      </c>
      <c r="O91" s="58">
        <v>3</v>
      </c>
      <c r="P91" s="59">
        <v>2</v>
      </c>
      <c r="Q91" s="58" t="b">
        <v>1</v>
      </c>
      <c r="R91" s="58" t="b">
        <v>1</v>
      </c>
      <c r="S91" s="58" t="b">
        <v>0</v>
      </c>
      <c r="T91" s="58">
        <v>85</v>
      </c>
      <c r="U91" s="58">
        <v>9</v>
      </c>
      <c r="V91" s="58">
        <v>0</v>
      </c>
      <c r="W91" s="90">
        <v>0.25</v>
      </c>
      <c r="X91" s="90">
        <v>0.25</v>
      </c>
      <c r="Y91" s="90">
        <v>0.75</v>
      </c>
      <c r="Z91" s="106">
        <v>0</v>
      </c>
      <c r="AA91" s="105" t="s">
        <v>73</v>
      </c>
      <c r="AB91" s="104" t="s">
        <v>72</v>
      </c>
      <c r="AC91" s="104" t="s">
        <v>71</v>
      </c>
      <c r="AD91" s="125"/>
      <c r="AE91" s="128"/>
    </row>
    <row r="92" spans="1:31" s="83" customFormat="1" x14ac:dyDescent="0.25">
      <c r="A92" s="127" t="s">
        <v>2</v>
      </c>
      <c r="B92" s="122" t="s">
        <v>145</v>
      </c>
      <c r="C92" s="121" t="s">
        <v>66</v>
      </c>
      <c r="D92" s="120">
        <v>60</v>
      </c>
      <c r="E92" s="119">
        <v>9</v>
      </c>
      <c r="F92" s="119">
        <v>0</v>
      </c>
      <c r="G92" s="119">
        <v>5</v>
      </c>
      <c r="H92" s="119">
        <v>0</v>
      </c>
      <c r="I92" s="119">
        <v>35</v>
      </c>
      <c r="J92" s="72">
        <v>7.4999999999999997E-2</v>
      </c>
      <c r="K92" s="119">
        <v>0</v>
      </c>
      <c r="L92" s="96" t="b">
        <v>1</v>
      </c>
      <c r="M92" s="69">
        <v>5</v>
      </c>
      <c r="N92" s="69">
        <v>5</v>
      </c>
      <c r="O92" s="118">
        <v>2</v>
      </c>
      <c r="P92" s="69">
        <f>entityDefinitions[[#This Row],['[edibleFromTier']]]</f>
        <v>2</v>
      </c>
      <c r="Q92" s="58" t="b">
        <v>1</v>
      </c>
      <c r="R92" s="126" t="b">
        <v>0</v>
      </c>
      <c r="S92" s="58" t="b">
        <v>0</v>
      </c>
      <c r="T92" s="58">
        <v>1</v>
      </c>
      <c r="U92" s="117">
        <v>2</v>
      </c>
      <c r="V92" s="58">
        <v>0</v>
      </c>
      <c r="W92" s="93">
        <v>0.1</v>
      </c>
      <c r="X92" s="116">
        <v>0.1</v>
      </c>
      <c r="Y92" s="116">
        <v>0</v>
      </c>
      <c r="Z92" s="115">
        <v>0</v>
      </c>
      <c r="AA92" s="101" t="s">
        <v>144</v>
      </c>
      <c r="AB92" s="113" t="s">
        <v>143</v>
      </c>
      <c r="AC92" s="104" t="s">
        <v>21</v>
      </c>
      <c r="AD92" s="125"/>
      <c r="AE92" s="124"/>
    </row>
    <row r="93" spans="1:31" x14ac:dyDescent="0.25">
      <c r="A93" s="123" t="s">
        <v>2</v>
      </c>
      <c r="B93" s="122" t="s">
        <v>142</v>
      </c>
      <c r="C93" s="121" t="s">
        <v>66</v>
      </c>
      <c r="D93" s="120">
        <v>360</v>
      </c>
      <c r="E93" s="119">
        <v>49</v>
      </c>
      <c r="F93" s="119">
        <v>0</v>
      </c>
      <c r="G93" s="119">
        <v>50</v>
      </c>
      <c r="H93" s="119">
        <v>0</v>
      </c>
      <c r="I93" s="119">
        <v>130</v>
      </c>
      <c r="J93" s="72">
        <v>0.15</v>
      </c>
      <c r="K93" s="119">
        <v>0</v>
      </c>
      <c r="L93" s="96" t="b">
        <v>1</v>
      </c>
      <c r="M93" s="69">
        <v>5</v>
      </c>
      <c r="N93" s="69">
        <v>5</v>
      </c>
      <c r="O93" s="118">
        <v>4</v>
      </c>
      <c r="P93" s="69">
        <f>entityDefinitions[[#This Row],['[edibleFromTier']]]</f>
        <v>4</v>
      </c>
      <c r="Q93" s="58" t="b">
        <v>1</v>
      </c>
      <c r="R93" s="58" t="b">
        <v>0</v>
      </c>
      <c r="S93" s="58" t="b">
        <v>0</v>
      </c>
      <c r="T93" s="58">
        <v>1</v>
      </c>
      <c r="U93" s="117">
        <v>4</v>
      </c>
      <c r="V93" s="58">
        <v>0</v>
      </c>
      <c r="W93" s="93">
        <v>0.15</v>
      </c>
      <c r="X93" s="116">
        <v>0.15</v>
      </c>
      <c r="Y93" s="116">
        <v>1</v>
      </c>
      <c r="Z93" s="115">
        <v>0</v>
      </c>
      <c r="AA93" s="114" t="s">
        <v>141</v>
      </c>
      <c r="AB93" s="113" t="s">
        <v>102</v>
      </c>
      <c r="AC93" s="104" t="s">
        <v>140</v>
      </c>
      <c r="AD93" s="104" t="s">
        <v>117</v>
      </c>
      <c r="AE93" s="103" t="s">
        <v>139</v>
      </c>
    </row>
    <row r="94" spans="1:31" x14ac:dyDescent="0.25">
      <c r="A94" s="111" t="s">
        <v>2</v>
      </c>
      <c r="B94" s="110" t="s">
        <v>138</v>
      </c>
      <c r="C94" s="109" t="s">
        <v>90</v>
      </c>
      <c r="D94" s="108">
        <v>120</v>
      </c>
      <c r="E94" s="107">
        <v>9</v>
      </c>
      <c r="F94" s="107">
        <v>0</v>
      </c>
      <c r="G94" s="107">
        <v>50</v>
      </c>
      <c r="H94" s="107">
        <v>0</v>
      </c>
      <c r="I94" s="107">
        <v>70</v>
      </c>
      <c r="J94" s="91">
        <v>0.15</v>
      </c>
      <c r="K94" s="107">
        <v>0</v>
      </c>
      <c r="L94" s="58" t="b">
        <v>1</v>
      </c>
      <c r="M94" s="59">
        <v>5</v>
      </c>
      <c r="N94" s="59">
        <v>2</v>
      </c>
      <c r="O94" s="58">
        <v>3</v>
      </c>
      <c r="P94" s="59">
        <v>1</v>
      </c>
      <c r="Q94" s="58" t="b">
        <v>1</v>
      </c>
      <c r="R94" s="58" t="b">
        <v>1</v>
      </c>
      <c r="S94" s="58" t="b">
        <v>0</v>
      </c>
      <c r="T94" s="58">
        <v>85</v>
      </c>
      <c r="U94" s="58">
        <v>9</v>
      </c>
      <c r="V94" s="58">
        <v>0</v>
      </c>
      <c r="W94" s="90">
        <v>0.25</v>
      </c>
      <c r="X94" s="90">
        <v>0.25</v>
      </c>
      <c r="Y94" s="90">
        <v>0.75</v>
      </c>
      <c r="Z94" s="106">
        <v>0</v>
      </c>
      <c r="AA94" s="112" t="s">
        <v>137</v>
      </c>
      <c r="AB94" s="104" t="s">
        <v>136</v>
      </c>
      <c r="AC94" s="104" t="s">
        <v>135</v>
      </c>
      <c r="AD94" s="104" t="s">
        <v>134</v>
      </c>
      <c r="AE94" s="103" t="s">
        <v>133</v>
      </c>
    </row>
    <row r="95" spans="1:31" s="18" customFormat="1" x14ac:dyDescent="0.25">
      <c r="A95" s="111" t="s">
        <v>2</v>
      </c>
      <c r="B95" s="110" t="s">
        <v>132</v>
      </c>
      <c r="C95" s="109" t="s">
        <v>68</v>
      </c>
      <c r="D95" s="108">
        <v>60</v>
      </c>
      <c r="E95" s="107">
        <v>2</v>
      </c>
      <c r="F95" s="107">
        <v>0</v>
      </c>
      <c r="G95" s="107">
        <v>30</v>
      </c>
      <c r="H95" s="107">
        <v>0</v>
      </c>
      <c r="I95" s="107">
        <v>75</v>
      </c>
      <c r="J95" s="91">
        <v>0.22499999999999998</v>
      </c>
      <c r="K95" s="107">
        <v>0</v>
      </c>
      <c r="L95" s="58" t="b">
        <v>1</v>
      </c>
      <c r="M95" s="59">
        <v>0</v>
      </c>
      <c r="N95" s="59">
        <v>5</v>
      </c>
      <c r="O95" s="58">
        <v>1</v>
      </c>
      <c r="P95" s="59">
        <v>0</v>
      </c>
      <c r="Q95" s="58" t="b">
        <v>1</v>
      </c>
      <c r="R95" s="58" t="b">
        <v>0</v>
      </c>
      <c r="S95" s="58" t="b">
        <v>1</v>
      </c>
      <c r="T95" s="58">
        <v>50</v>
      </c>
      <c r="U95" s="58">
        <v>6</v>
      </c>
      <c r="V95" s="58">
        <v>0</v>
      </c>
      <c r="W95" s="90">
        <v>0.25</v>
      </c>
      <c r="X95" s="90">
        <v>0.25</v>
      </c>
      <c r="Y95" s="90">
        <v>0.8</v>
      </c>
      <c r="Z95" s="106">
        <v>0</v>
      </c>
      <c r="AA95" s="105" t="s">
        <v>131</v>
      </c>
      <c r="AB95" s="104" t="s">
        <v>130</v>
      </c>
      <c r="AC95" s="104" t="s">
        <v>129</v>
      </c>
      <c r="AD95" s="104" t="s">
        <v>128</v>
      </c>
      <c r="AE95" s="103" t="s">
        <v>127</v>
      </c>
    </row>
    <row r="96" spans="1:31" x14ac:dyDescent="0.25">
      <c r="A96" s="46" t="s">
        <v>2</v>
      </c>
      <c r="B96" s="94" t="s">
        <v>126</v>
      </c>
      <c r="C96" s="44" t="s">
        <v>84</v>
      </c>
      <c r="D96" s="102">
        <v>120</v>
      </c>
      <c r="E96" s="102">
        <v>9</v>
      </c>
      <c r="F96" s="41">
        <v>0</v>
      </c>
      <c r="G96" s="41">
        <v>20</v>
      </c>
      <c r="H96" s="41">
        <v>0</v>
      </c>
      <c r="I96" s="41">
        <v>70</v>
      </c>
      <c r="J96" s="72">
        <v>0.15</v>
      </c>
      <c r="K96" s="41">
        <v>0</v>
      </c>
      <c r="L96" s="40" t="b">
        <v>1</v>
      </c>
      <c r="M96" s="81">
        <v>5</v>
      </c>
      <c r="N96" s="81">
        <v>5</v>
      </c>
      <c r="O96" s="40">
        <v>2</v>
      </c>
      <c r="P96" s="81">
        <f>entityDefinitions[[#This Row],['[edibleFromTier']]]</f>
        <v>2</v>
      </c>
      <c r="Q96" s="58" t="b">
        <v>1</v>
      </c>
      <c r="R96" s="78" t="b">
        <v>0</v>
      </c>
      <c r="S96" s="78" t="b">
        <v>0</v>
      </c>
      <c r="T96" s="78">
        <v>1</v>
      </c>
      <c r="U96" s="78">
        <v>4</v>
      </c>
      <c r="V96" s="78">
        <v>0</v>
      </c>
      <c r="W96" s="30">
        <v>0.15</v>
      </c>
      <c r="X96" s="30">
        <v>0.15</v>
      </c>
      <c r="Y96" s="30">
        <v>1</v>
      </c>
      <c r="Z96" s="29">
        <v>0</v>
      </c>
      <c r="AA96" s="77" t="s">
        <v>125</v>
      </c>
      <c r="AB96" s="76" t="s">
        <v>124</v>
      </c>
      <c r="AC96" s="76" t="s">
        <v>123</v>
      </c>
      <c r="AD96" s="76" t="s">
        <v>117</v>
      </c>
      <c r="AE96" s="75" t="s">
        <v>122</v>
      </c>
    </row>
    <row r="97" spans="1:31" s="83" customFormat="1" x14ac:dyDescent="0.25">
      <c r="A97" s="46" t="s">
        <v>2</v>
      </c>
      <c r="B97" s="94" t="s">
        <v>121</v>
      </c>
      <c r="C97" s="44" t="s">
        <v>84</v>
      </c>
      <c r="D97" s="41">
        <v>120</v>
      </c>
      <c r="E97" s="41">
        <v>9</v>
      </c>
      <c r="F97" s="41">
        <v>0</v>
      </c>
      <c r="G97" s="41">
        <v>20</v>
      </c>
      <c r="H97" s="41">
        <v>0</v>
      </c>
      <c r="I97" s="41">
        <v>70</v>
      </c>
      <c r="J97" s="72">
        <v>0.15</v>
      </c>
      <c r="K97" s="41">
        <v>0</v>
      </c>
      <c r="L97" s="40" t="b">
        <v>1</v>
      </c>
      <c r="M97" s="80">
        <v>5</v>
      </c>
      <c r="N97" s="80">
        <v>5</v>
      </c>
      <c r="O97" s="40">
        <v>2</v>
      </c>
      <c r="P97" s="80">
        <f>entityDefinitions[[#This Row],['[edibleFromTier']]]</f>
        <v>2</v>
      </c>
      <c r="Q97" s="58" t="b">
        <v>1</v>
      </c>
      <c r="R97" s="79" t="b">
        <v>0</v>
      </c>
      <c r="S97" s="78" t="b">
        <v>0</v>
      </c>
      <c r="T97" s="78">
        <v>1</v>
      </c>
      <c r="U97" s="78">
        <v>4</v>
      </c>
      <c r="V97" s="78">
        <v>0</v>
      </c>
      <c r="W97" s="93">
        <v>0.15</v>
      </c>
      <c r="X97" s="93">
        <v>0.15</v>
      </c>
      <c r="Y97" s="30">
        <v>1</v>
      </c>
      <c r="Z97" s="29">
        <v>0</v>
      </c>
      <c r="AA97" s="77" t="s">
        <v>120</v>
      </c>
      <c r="AB97" s="76" t="s">
        <v>119</v>
      </c>
      <c r="AC97" s="76" t="s">
        <v>118</v>
      </c>
      <c r="AD97" s="76" t="s">
        <v>117</v>
      </c>
      <c r="AE97" s="75" t="s">
        <v>116</v>
      </c>
    </row>
    <row r="98" spans="1:31" s="83" customFormat="1" x14ac:dyDescent="0.25">
      <c r="A98" s="46" t="s">
        <v>2</v>
      </c>
      <c r="B98" s="94" t="s">
        <v>115</v>
      </c>
      <c r="C98" s="44" t="s">
        <v>84</v>
      </c>
      <c r="D98" s="41">
        <v>20</v>
      </c>
      <c r="E98" s="41">
        <v>2</v>
      </c>
      <c r="F98" s="41">
        <v>0</v>
      </c>
      <c r="G98" s="41">
        <v>4</v>
      </c>
      <c r="H98" s="41">
        <v>0</v>
      </c>
      <c r="I98" s="41">
        <v>25</v>
      </c>
      <c r="J98" s="72">
        <v>7.4999999999999997E-2</v>
      </c>
      <c r="K98" s="41">
        <v>0</v>
      </c>
      <c r="L98" s="40" t="b">
        <v>1</v>
      </c>
      <c r="M98" s="80">
        <v>5</v>
      </c>
      <c r="N98" s="80">
        <v>5</v>
      </c>
      <c r="O98" s="40">
        <v>0</v>
      </c>
      <c r="P98" s="80">
        <f>entityDefinitions[[#This Row],['[edibleFromTier']]]</f>
        <v>0</v>
      </c>
      <c r="Q98" s="58" t="b">
        <v>1</v>
      </c>
      <c r="R98" s="79" t="b">
        <v>0</v>
      </c>
      <c r="S98" s="78" t="b">
        <v>0</v>
      </c>
      <c r="T98" s="78">
        <v>1</v>
      </c>
      <c r="U98" s="40">
        <v>3</v>
      </c>
      <c r="V98" s="40">
        <v>0</v>
      </c>
      <c r="W98" s="93">
        <v>0.15</v>
      </c>
      <c r="X98" s="30">
        <v>0.15</v>
      </c>
      <c r="Y98" s="30">
        <v>0</v>
      </c>
      <c r="Z98" s="29">
        <v>0</v>
      </c>
      <c r="AA98" s="77" t="s">
        <v>114</v>
      </c>
      <c r="AB98" s="76" t="s">
        <v>113</v>
      </c>
      <c r="AC98" s="76" t="s">
        <v>112</v>
      </c>
      <c r="AD98" s="27"/>
      <c r="AE98" s="100"/>
    </row>
    <row r="99" spans="1:31" s="83" customFormat="1" x14ac:dyDescent="0.25">
      <c r="A99" s="46" t="s">
        <v>2</v>
      </c>
      <c r="B99" s="94" t="s">
        <v>111</v>
      </c>
      <c r="C99" s="44" t="s">
        <v>84</v>
      </c>
      <c r="D99" s="41">
        <v>20</v>
      </c>
      <c r="E99" s="41">
        <v>2</v>
      </c>
      <c r="F99" s="41">
        <v>0</v>
      </c>
      <c r="G99" s="41">
        <v>3</v>
      </c>
      <c r="H99" s="41">
        <v>0</v>
      </c>
      <c r="I99" s="41">
        <v>25</v>
      </c>
      <c r="J99" s="72">
        <v>7.4999999999999997E-2</v>
      </c>
      <c r="K99" s="41">
        <v>0</v>
      </c>
      <c r="L99" s="40" t="b">
        <v>1</v>
      </c>
      <c r="M99" s="80">
        <v>5</v>
      </c>
      <c r="N99" s="80">
        <v>5</v>
      </c>
      <c r="O99" s="40">
        <v>0</v>
      </c>
      <c r="P99" s="80">
        <f>entityDefinitions[[#This Row],['[edibleFromTier']]]</f>
        <v>0</v>
      </c>
      <c r="Q99" s="58" t="b">
        <v>1</v>
      </c>
      <c r="R99" s="79" t="b">
        <v>0</v>
      </c>
      <c r="S99" s="78" t="b">
        <v>0</v>
      </c>
      <c r="T99" s="78">
        <v>1</v>
      </c>
      <c r="U99" s="40">
        <v>1</v>
      </c>
      <c r="V99" s="40">
        <v>0</v>
      </c>
      <c r="W99" s="93">
        <v>0.05</v>
      </c>
      <c r="X99" s="30">
        <v>0.05</v>
      </c>
      <c r="Y99" s="30">
        <v>0</v>
      </c>
      <c r="Z99" s="29">
        <v>0</v>
      </c>
      <c r="AA99" s="101" t="s">
        <v>110</v>
      </c>
      <c r="AB99" s="76" t="s">
        <v>109</v>
      </c>
      <c r="AC99" s="76" t="s">
        <v>108</v>
      </c>
      <c r="AD99" s="27"/>
      <c r="AE99" s="100"/>
    </row>
    <row r="100" spans="1:31" x14ac:dyDescent="0.25">
      <c r="A100" s="46" t="s">
        <v>2</v>
      </c>
      <c r="B100" s="45" t="s">
        <v>107</v>
      </c>
      <c r="C100" s="74" t="s">
        <v>84</v>
      </c>
      <c r="D100" s="98">
        <v>220</v>
      </c>
      <c r="E100" s="98">
        <v>21</v>
      </c>
      <c r="F100" s="98">
        <v>0</v>
      </c>
      <c r="G100" s="98">
        <v>100</v>
      </c>
      <c r="H100" s="98">
        <v>0</v>
      </c>
      <c r="I100" s="98">
        <v>95</v>
      </c>
      <c r="J100" s="99">
        <v>0.15</v>
      </c>
      <c r="K100" s="98">
        <v>0</v>
      </c>
      <c r="L100" s="70" t="b">
        <v>1</v>
      </c>
      <c r="M100" s="80">
        <v>5</v>
      </c>
      <c r="N100" s="80">
        <v>5</v>
      </c>
      <c r="O100" s="70">
        <v>3</v>
      </c>
      <c r="P100" s="80">
        <f>entityDefinitions[[#This Row],['[edibleFromTier']]]</f>
        <v>3</v>
      </c>
      <c r="Q100" s="97" t="b">
        <v>1</v>
      </c>
      <c r="R100" s="96" t="b">
        <v>0</v>
      </c>
      <c r="S100" s="96" t="b">
        <v>0</v>
      </c>
      <c r="T100" s="96">
        <v>1</v>
      </c>
      <c r="U100" s="70">
        <v>12</v>
      </c>
      <c r="V100" s="70">
        <v>0</v>
      </c>
      <c r="W100" s="93">
        <v>0.25</v>
      </c>
      <c r="X100" s="30">
        <v>0.25</v>
      </c>
      <c r="Y100" s="30">
        <v>0.5</v>
      </c>
      <c r="Z100" s="29">
        <v>0</v>
      </c>
      <c r="AA100" s="92" t="s">
        <v>106</v>
      </c>
      <c r="AB100" s="76" t="s">
        <v>105</v>
      </c>
      <c r="AC100" s="76" t="s">
        <v>21</v>
      </c>
      <c r="AD100" s="76"/>
      <c r="AE100" s="95"/>
    </row>
    <row r="101" spans="1:31" x14ac:dyDescent="0.25">
      <c r="A101" s="46" t="s">
        <v>2</v>
      </c>
      <c r="B101" s="45" t="s">
        <v>104</v>
      </c>
      <c r="C101" s="74" t="s">
        <v>84</v>
      </c>
      <c r="D101" s="98">
        <v>60</v>
      </c>
      <c r="E101" s="98">
        <v>9</v>
      </c>
      <c r="F101" s="98">
        <v>0</v>
      </c>
      <c r="G101" s="98">
        <v>35</v>
      </c>
      <c r="H101" s="98">
        <v>0</v>
      </c>
      <c r="I101" s="98">
        <v>35</v>
      </c>
      <c r="J101" s="99">
        <v>7.4999999999999997E-2</v>
      </c>
      <c r="K101" s="98">
        <v>0</v>
      </c>
      <c r="L101" s="70" t="b">
        <v>1</v>
      </c>
      <c r="M101" s="80">
        <v>5</v>
      </c>
      <c r="N101" s="80">
        <v>5</v>
      </c>
      <c r="O101" s="70">
        <v>2</v>
      </c>
      <c r="P101" s="80">
        <f>entityDefinitions[[#This Row],['[edibleFromTier']]]</f>
        <v>2</v>
      </c>
      <c r="Q101" s="97" t="b">
        <v>1</v>
      </c>
      <c r="R101" s="96" t="b">
        <v>0</v>
      </c>
      <c r="S101" s="96" t="b">
        <v>0</v>
      </c>
      <c r="T101" s="96">
        <v>1</v>
      </c>
      <c r="U101" s="70">
        <v>8</v>
      </c>
      <c r="V101" s="70">
        <v>0</v>
      </c>
      <c r="W101" s="93">
        <v>0.25</v>
      </c>
      <c r="X101" s="30">
        <v>0.25</v>
      </c>
      <c r="Y101" s="30">
        <v>0</v>
      </c>
      <c r="Z101" s="29">
        <v>0</v>
      </c>
      <c r="AA101" s="92" t="s">
        <v>103</v>
      </c>
      <c r="AB101" s="76" t="s">
        <v>102</v>
      </c>
      <c r="AC101" s="76" t="s">
        <v>101</v>
      </c>
      <c r="AD101" s="76"/>
      <c r="AE101" s="95"/>
    </row>
    <row r="102" spans="1:31" x14ac:dyDescent="0.25">
      <c r="A102" s="46" t="s">
        <v>2</v>
      </c>
      <c r="B102" s="94" t="s">
        <v>100</v>
      </c>
      <c r="C102" s="44" t="s">
        <v>66</v>
      </c>
      <c r="D102" s="41">
        <v>90</v>
      </c>
      <c r="E102" s="41">
        <v>4</v>
      </c>
      <c r="F102" s="41">
        <v>0</v>
      </c>
      <c r="G102" s="41">
        <v>300</v>
      </c>
      <c r="H102" s="41">
        <v>0</v>
      </c>
      <c r="I102" s="41">
        <v>83</v>
      </c>
      <c r="J102" s="72">
        <v>0.22499999999999998</v>
      </c>
      <c r="K102" s="41">
        <v>0</v>
      </c>
      <c r="L102" s="40" t="b">
        <v>1</v>
      </c>
      <c r="M102" s="80">
        <v>5</v>
      </c>
      <c r="N102" s="80">
        <v>5</v>
      </c>
      <c r="O102" s="40">
        <v>1</v>
      </c>
      <c r="P102" s="80">
        <v>2</v>
      </c>
      <c r="Q102" s="58" t="b">
        <v>1</v>
      </c>
      <c r="R102" s="78" t="b">
        <v>0</v>
      </c>
      <c r="S102" s="78" t="b">
        <v>0</v>
      </c>
      <c r="T102" s="78">
        <v>1</v>
      </c>
      <c r="U102" s="40">
        <v>0</v>
      </c>
      <c r="V102" s="40">
        <v>0</v>
      </c>
      <c r="W102" s="93">
        <v>0.1</v>
      </c>
      <c r="X102" s="30">
        <v>0.1</v>
      </c>
      <c r="Y102" s="30">
        <v>1</v>
      </c>
      <c r="Z102" s="29">
        <v>0</v>
      </c>
      <c r="AA102" s="92" t="s">
        <v>99</v>
      </c>
      <c r="AB102" s="76" t="s">
        <v>98</v>
      </c>
      <c r="AC102" s="76" t="s">
        <v>97</v>
      </c>
      <c r="AD102" s="76" t="s">
        <v>96</v>
      </c>
      <c r="AE102" s="75" t="s">
        <v>95</v>
      </c>
    </row>
    <row r="103" spans="1:31" s="83" customFormat="1" x14ac:dyDescent="0.25">
      <c r="A103" s="65" t="s">
        <v>2</v>
      </c>
      <c r="B103" s="64" t="s">
        <v>94</v>
      </c>
      <c r="C103" s="44" t="s">
        <v>68</v>
      </c>
      <c r="D103" s="60">
        <v>40</v>
      </c>
      <c r="E103" s="60">
        <v>2</v>
      </c>
      <c r="F103" s="60">
        <v>0</v>
      </c>
      <c r="G103" s="60">
        <v>15</v>
      </c>
      <c r="H103" s="60">
        <v>0</v>
      </c>
      <c r="I103" s="60">
        <v>50</v>
      </c>
      <c r="J103" s="91">
        <v>0.15</v>
      </c>
      <c r="K103" s="60">
        <v>0</v>
      </c>
      <c r="L103" s="32" t="b">
        <v>1</v>
      </c>
      <c r="M103" s="49">
        <v>5</v>
      </c>
      <c r="N103" s="49">
        <v>0</v>
      </c>
      <c r="O103" s="32">
        <v>1</v>
      </c>
      <c r="P103" s="49">
        <v>0</v>
      </c>
      <c r="Q103" s="58" t="b">
        <v>1</v>
      </c>
      <c r="R103" s="58" t="b">
        <v>1</v>
      </c>
      <c r="S103" s="36" t="b">
        <v>0</v>
      </c>
      <c r="T103" s="58">
        <v>35</v>
      </c>
      <c r="U103" s="32">
        <v>7</v>
      </c>
      <c r="V103" s="32">
        <v>0</v>
      </c>
      <c r="W103" s="90">
        <v>0.25</v>
      </c>
      <c r="X103" s="57">
        <v>0.25</v>
      </c>
      <c r="Y103" s="57">
        <v>0</v>
      </c>
      <c r="Z103" s="56">
        <v>0</v>
      </c>
      <c r="AA103" s="89" t="s">
        <v>89</v>
      </c>
      <c r="AB103" s="54" t="s">
        <v>93</v>
      </c>
      <c r="AC103" s="54" t="s">
        <v>92</v>
      </c>
      <c r="AD103" s="26"/>
      <c r="AE103" s="25"/>
    </row>
    <row r="104" spans="1:31" s="83" customFormat="1" x14ac:dyDescent="0.25">
      <c r="A104" s="65" t="s">
        <v>2</v>
      </c>
      <c r="B104" s="64" t="s">
        <v>91</v>
      </c>
      <c r="C104" s="63" t="s">
        <v>90</v>
      </c>
      <c r="D104" s="60">
        <v>40</v>
      </c>
      <c r="E104" s="60">
        <v>2</v>
      </c>
      <c r="F104" s="60">
        <v>0</v>
      </c>
      <c r="G104" s="60">
        <v>15</v>
      </c>
      <c r="H104" s="60">
        <v>0</v>
      </c>
      <c r="I104" s="60">
        <v>50</v>
      </c>
      <c r="J104" s="91">
        <v>0.15</v>
      </c>
      <c r="K104" s="60">
        <v>0</v>
      </c>
      <c r="L104" s="32" t="b">
        <v>1</v>
      </c>
      <c r="M104" s="49">
        <v>5</v>
      </c>
      <c r="N104" s="49">
        <v>0</v>
      </c>
      <c r="O104" s="32">
        <v>1</v>
      </c>
      <c r="P104" s="49">
        <v>0</v>
      </c>
      <c r="Q104" s="58" t="b">
        <v>1</v>
      </c>
      <c r="R104" s="58" t="b">
        <v>1</v>
      </c>
      <c r="S104" s="36" t="b">
        <v>0</v>
      </c>
      <c r="T104" s="58">
        <v>75</v>
      </c>
      <c r="U104" s="32">
        <v>7</v>
      </c>
      <c r="V104" s="32">
        <v>0</v>
      </c>
      <c r="W104" s="90">
        <v>0.25</v>
      </c>
      <c r="X104" s="57">
        <v>0.25</v>
      </c>
      <c r="Y104" s="57">
        <v>0</v>
      </c>
      <c r="Z104" s="56">
        <v>0</v>
      </c>
      <c r="AA104" s="89" t="s">
        <v>89</v>
      </c>
      <c r="AB104" s="54" t="s">
        <v>88</v>
      </c>
      <c r="AC104" s="54" t="s">
        <v>87</v>
      </c>
      <c r="AD104" s="26"/>
      <c r="AE104" s="25"/>
    </row>
    <row r="105" spans="1:31" s="83" customFormat="1" x14ac:dyDescent="0.25">
      <c r="A105" s="46" t="s">
        <v>2</v>
      </c>
      <c r="B105" s="88" t="s">
        <v>86</v>
      </c>
      <c r="C105" s="87" t="s">
        <v>84</v>
      </c>
      <c r="D105" s="86">
        <v>40</v>
      </c>
      <c r="E105" s="41">
        <v>2</v>
      </c>
      <c r="F105" s="41">
        <v>0</v>
      </c>
      <c r="G105" s="41">
        <v>15</v>
      </c>
      <c r="H105" s="41">
        <v>0</v>
      </c>
      <c r="I105" s="41">
        <v>50</v>
      </c>
      <c r="J105" s="85">
        <v>0.15</v>
      </c>
      <c r="K105" s="41">
        <v>0</v>
      </c>
      <c r="L105" s="40" t="b">
        <v>1</v>
      </c>
      <c r="M105" s="48">
        <v>5</v>
      </c>
      <c r="N105" s="49">
        <v>5</v>
      </c>
      <c r="O105" s="39">
        <v>0</v>
      </c>
      <c r="P105" s="38">
        <f>entityDefinitions[[#This Row],['[edibleFromTier']]]</f>
        <v>0</v>
      </c>
      <c r="Q105" s="58" t="b">
        <v>1</v>
      </c>
      <c r="R105" s="58" t="b">
        <v>0</v>
      </c>
      <c r="S105" s="35" t="b">
        <v>0</v>
      </c>
      <c r="T105" s="58">
        <v>1</v>
      </c>
      <c r="U105" s="33">
        <v>9</v>
      </c>
      <c r="V105" s="32">
        <v>0</v>
      </c>
      <c r="W105" s="84">
        <v>0.05</v>
      </c>
      <c r="X105" s="30">
        <v>0.05</v>
      </c>
      <c r="Y105" s="30">
        <v>0</v>
      </c>
      <c r="Z105" s="29">
        <v>0</v>
      </c>
      <c r="AA105" s="28" t="s">
        <v>83</v>
      </c>
      <c r="AB105" s="27" t="s">
        <v>82</v>
      </c>
      <c r="AC105" s="26" t="s">
        <v>81</v>
      </c>
      <c r="AD105" s="26"/>
      <c r="AE105" s="25"/>
    </row>
    <row r="106" spans="1:31" s="83" customFormat="1" x14ac:dyDescent="0.25">
      <c r="A106" s="46" t="s">
        <v>2</v>
      </c>
      <c r="B106" s="45" t="s">
        <v>85</v>
      </c>
      <c r="C106" s="74" t="s">
        <v>84</v>
      </c>
      <c r="D106" s="86">
        <v>40</v>
      </c>
      <c r="E106" s="41">
        <v>2</v>
      </c>
      <c r="F106" s="41">
        <v>0</v>
      </c>
      <c r="G106" s="41">
        <v>15</v>
      </c>
      <c r="H106" s="41">
        <v>0</v>
      </c>
      <c r="I106" s="41">
        <v>50</v>
      </c>
      <c r="J106" s="85">
        <v>0.15</v>
      </c>
      <c r="K106" s="41">
        <v>0</v>
      </c>
      <c r="L106" s="40" t="b">
        <v>1</v>
      </c>
      <c r="M106" s="48">
        <v>5</v>
      </c>
      <c r="N106" s="49">
        <v>5</v>
      </c>
      <c r="O106" s="39">
        <v>0</v>
      </c>
      <c r="P106" s="38">
        <f>entityDefinitions[[#This Row],['[edibleFromTier']]]</f>
        <v>0</v>
      </c>
      <c r="Q106" s="58" t="b">
        <v>1</v>
      </c>
      <c r="R106" s="58" t="b">
        <v>0</v>
      </c>
      <c r="S106" s="35" t="b">
        <v>0</v>
      </c>
      <c r="T106" s="58">
        <v>1</v>
      </c>
      <c r="U106" s="33">
        <v>9</v>
      </c>
      <c r="V106" s="32">
        <v>0</v>
      </c>
      <c r="W106" s="84">
        <v>0.05</v>
      </c>
      <c r="X106" s="30">
        <v>0.05</v>
      </c>
      <c r="Y106" s="30">
        <v>0</v>
      </c>
      <c r="Z106" s="29">
        <v>0</v>
      </c>
      <c r="AA106" s="28" t="s">
        <v>83</v>
      </c>
      <c r="AB106" s="27" t="s">
        <v>82</v>
      </c>
      <c r="AC106" s="26" t="s">
        <v>81</v>
      </c>
      <c r="AD106" s="26"/>
      <c r="AE106" s="25"/>
    </row>
    <row r="107" spans="1:31" x14ac:dyDescent="0.25">
      <c r="A107" s="46" t="s">
        <v>2</v>
      </c>
      <c r="B107" s="82" t="s">
        <v>80</v>
      </c>
      <c r="C107" s="44" t="s">
        <v>66</v>
      </c>
      <c r="D107" s="41">
        <v>60</v>
      </c>
      <c r="E107" s="41">
        <v>4</v>
      </c>
      <c r="F107" s="41">
        <v>0</v>
      </c>
      <c r="G107" s="41">
        <v>20</v>
      </c>
      <c r="H107" s="41">
        <v>0</v>
      </c>
      <c r="I107" s="41">
        <v>55</v>
      </c>
      <c r="J107" s="72">
        <v>0.15</v>
      </c>
      <c r="K107" s="41">
        <v>0</v>
      </c>
      <c r="L107" s="40" t="b">
        <v>1</v>
      </c>
      <c r="M107" s="80">
        <v>5</v>
      </c>
      <c r="N107" s="81">
        <v>5</v>
      </c>
      <c r="O107" s="40">
        <v>1</v>
      </c>
      <c r="P107" s="80">
        <v>1</v>
      </c>
      <c r="Q107" s="58" t="b">
        <v>1</v>
      </c>
      <c r="R107" s="78" t="b">
        <v>0</v>
      </c>
      <c r="S107" s="79" t="b">
        <v>0</v>
      </c>
      <c r="T107" s="78">
        <v>1</v>
      </c>
      <c r="U107" s="40">
        <v>6</v>
      </c>
      <c r="V107" s="70">
        <v>0</v>
      </c>
      <c r="W107" s="30">
        <v>0.15</v>
      </c>
      <c r="X107" s="30">
        <v>0.15</v>
      </c>
      <c r="Y107" s="30">
        <v>0.6</v>
      </c>
      <c r="Z107" s="29">
        <v>0</v>
      </c>
      <c r="AA107" s="77" t="s">
        <v>79</v>
      </c>
      <c r="AB107" s="76" t="s">
        <v>78</v>
      </c>
      <c r="AC107" s="76" t="s">
        <v>77</v>
      </c>
      <c r="AD107" s="76" t="s">
        <v>76</v>
      </c>
      <c r="AE107" s="75" t="s">
        <v>75</v>
      </c>
    </row>
    <row r="108" spans="1:31" x14ac:dyDescent="0.25">
      <c r="A108" s="46" t="s">
        <v>2</v>
      </c>
      <c r="B108" s="45" t="s">
        <v>74</v>
      </c>
      <c r="C108" s="74" t="s">
        <v>66</v>
      </c>
      <c r="D108" s="73">
        <v>40</v>
      </c>
      <c r="E108" s="71">
        <v>2</v>
      </c>
      <c r="F108" s="71">
        <v>0</v>
      </c>
      <c r="G108" s="71">
        <v>30</v>
      </c>
      <c r="H108" s="71">
        <v>0</v>
      </c>
      <c r="I108" s="71">
        <v>50</v>
      </c>
      <c r="J108" s="72">
        <v>0.15</v>
      </c>
      <c r="K108" s="71">
        <v>0</v>
      </c>
      <c r="L108" s="70" t="b">
        <v>1</v>
      </c>
      <c r="M108" s="48">
        <v>5</v>
      </c>
      <c r="N108" s="69">
        <v>5</v>
      </c>
      <c r="O108" s="68">
        <v>0</v>
      </c>
      <c r="P108" s="48">
        <v>0</v>
      </c>
      <c r="Q108" s="58" t="b">
        <v>1</v>
      </c>
      <c r="R108" s="58" t="b">
        <v>0</v>
      </c>
      <c r="S108" s="36" t="b">
        <v>0</v>
      </c>
      <c r="T108" s="58">
        <v>85</v>
      </c>
      <c r="U108" s="67">
        <v>9</v>
      </c>
      <c r="V108" s="66">
        <v>0</v>
      </c>
      <c r="W108" s="30">
        <v>0.25</v>
      </c>
      <c r="X108" s="30">
        <v>0.25</v>
      </c>
      <c r="Y108" s="30">
        <v>0.75</v>
      </c>
      <c r="Z108" s="29">
        <v>0</v>
      </c>
      <c r="AA108" s="28" t="s">
        <v>73</v>
      </c>
      <c r="AB108" s="27" t="s">
        <v>72</v>
      </c>
      <c r="AC108" s="26" t="s">
        <v>71</v>
      </c>
      <c r="AD108" s="26"/>
      <c r="AE108" s="25"/>
    </row>
    <row r="109" spans="1:31" x14ac:dyDescent="0.25">
      <c r="A109" s="65" t="s">
        <v>2</v>
      </c>
      <c r="B109" s="64" t="s">
        <v>70</v>
      </c>
      <c r="C109" s="63" t="s">
        <v>68</v>
      </c>
      <c r="D109" s="62">
        <v>60</v>
      </c>
      <c r="E109" s="60">
        <v>2</v>
      </c>
      <c r="F109" s="60">
        <v>0</v>
      </c>
      <c r="G109" s="60">
        <v>8</v>
      </c>
      <c r="H109" s="60">
        <v>0</v>
      </c>
      <c r="I109" s="60">
        <v>75</v>
      </c>
      <c r="J109" s="61">
        <v>0.22499999999999998</v>
      </c>
      <c r="K109" s="60">
        <v>0</v>
      </c>
      <c r="L109" s="32" t="b">
        <v>1</v>
      </c>
      <c r="M109" s="49">
        <v>5</v>
      </c>
      <c r="N109" s="59">
        <v>0</v>
      </c>
      <c r="O109" s="32">
        <v>1</v>
      </c>
      <c r="P109" s="49">
        <v>0</v>
      </c>
      <c r="Q109" s="58" t="b">
        <v>1</v>
      </c>
      <c r="R109" s="58" t="b">
        <v>1</v>
      </c>
      <c r="S109" s="36" t="b">
        <v>0</v>
      </c>
      <c r="T109" s="58">
        <v>25</v>
      </c>
      <c r="U109" s="32">
        <v>7</v>
      </c>
      <c r="V109" s="32">
        <v>0</v>
      </c>
      <c r="W109" s="57">
        <v>0.25</v>
      </c>
      <c r="X109" s="57">
        <v>0.25</v>
      </c>
      <c r="Y109" s="57">
        <v>0.8</v>
      </c>
      <c r="Z109" s="56">
        <v>0</v>
      </c>
      <c r="AA109" s="55" t="s">
        <v>65</v>
      </c>
      <c r="AB109" s="54" t="s">
        <v>64</v>
      </c>
      <c r="AC109" s="54" t="s">
        <v>63</v>
      </c>
      <c r="AD109" s="26"/>
      <c r="AE109" s="53"/>
    </row>
    <row r="110" spans="1:31" s="24" customFormat="1" x14ac:dyDescent="0.25">
      <c r="A110" s="52" t="s">
        <v>2</v>
      </c>
      <c r="B110" s="45" t="s">
        <v>69</v>
      </c>
      <c r="C110" s="44" t="s">
        <v>68</v>
      </c>
      <c r="D110" s="51">
        <v>40</v>
      </c>
      <c r="E110" s="41">
        <v>2</v>
      </c>
      <c r="F110" s="41">
        <v>0</v>
      </c>
      <c r="G110" s="41">
        <v>16</v>
      </c>
      <c r="H110" s="41">
        <v>0</v>
      </c>
      <c r="I110" s="41">
        <v>50</v>
      </c>
      <c r="J110" s="50">
        <v>0.15</v>
      </c>
      <c r="K110" s="41">
        <v>0</v>
      </c>
      <c r="L110" s="40" t="b">
        <v>1</v>
      </c>
      <c r="M110" s="48">
        <v>5</v>
      </c>
      <c r="N110" s="49">
        <v>0</v>
      </c>
      <c r="O110" s="39">
        <v>1</v>
      </c>
      <c r="P110" s="48">
        <v>0</v>
      </c>
      <c r="Q110" s="47" t="b">
        <v>1</v>
      </c>
      <c r="R110" s="36" t="b">
        <v>1</v>
      </c>
      <c r="S110" s="35" t="b">
        <v>0</v>
      </c>
      <c r="T110" s="34">
        <v>25</v>
      </c>
      <c r="U110" s="33">
        <v>7</v>
      </c>
      <c r="V110" s="32">
        <v>0</v>
      </c>
      <c r="W110" s="31">
        <v>0.25</v>
      </c>
      <c r="X110" s="30">
        <v>0.25</v>
      </c>
      <c r="Y110" s="30">
        <v>0.8</v>
      </c>
      <c r="Z110" s="29">
        <v>0</v>
      </c>
      <c r="AA110" s="28" t="s">
        <v>65</v>
      </c>
      <c r="AB110" s="27" t="s">
        <v>64</v>
      </c>
      <c r="AC110" s="26" t="s">
        <v>63</v>
      </c>
      <c r="AD110" s="26"/>
      <c r="AE110" s="25"/>
    </row>
    <row r="111" spans="1:31" s="24" customFormat="1" x14ac:dyDescent="0.25">
      <c r="A111" s="46" t="s">
        <v>2</v>
      </c>
      <c r="B111" s="45" t="s">
        <v>67</v>
      </c>
      <c r="C111" s="44" t="s">
        <v>66</v>
      </c>
      <c r="D111" s="43">
        <v>10</v>
      </c>
      <c r="E111" s="41">
        <v>5</v>
      </c>
      <c r="F111" s="41">
        <v>0</v>
      </c>
      <c r="G111" s="41">
        <v>10</v>
      </c>
      <c r="H111" s="41">
        <v>0</v>
      </c>
      <c r="I111" s="41">
        <v>10</v>
      </c>
      <c r="J111" s="42">
        <v>0</v>
      </c>
      <c r="K111" s="41">
        <v>0</v>
      </c>
      <c r="L111" s="40" t="b">
        <v>0</v>
      </c>
      <c r="M111" s="38">
        <v>5</v>
      </c>
      <c r="N111" s="38">
        <v>5</v>
      </c>
      <c r="O111" s="39">
        <v>5</v>
      </c>
      <c r="P111" s="38">
        <v>4</v>
      </c>
      <c r="Q111" s="37" t="b">
        <v>1</v>
      </c>
      <c r="R111" s="36" t="b">
        <v>0</v>
      </c>
      <c r="S111" s="35" t="b">
        <v>0</v>
      </c>
      <c r="T111" s="34">
        <v>1</v>
      </c>
      <c r="U111" s="33">
        <v>0</v>
      </c>
      <c r="V111" s="32">
        <v>0</v>
      </c>
      <c r="W111" s="31">
        <v>0</v>
      </c>
      <c r="X111" s="30">
        <v>0</v>
      </c>
      <c r="Y111" s="30">
        <v>0</v>
      </c>
      <c r="Z111" s="29">
        <v>0</v>
      </c>
      <c r="AA111" s="28" t="s">
        <v>65</v>
      </c>
      <c r="AB111" s="27" t="s">
        <v>64</v>
      </c>
      <c r="AC111" s="26" t="s">
        <v>63</v>
      </c>
      <c r="AD111" s="26"/>
      <c r="AE111" s="25"/>
    </row>
    <row r="112" spans="1:31" s="24" customFormat="1" x14ac:dyDescent="0.25">
      <c r="A112" s="46" t="s">
        <v>2</v>
      </c>
      <c r="B112" s="45" t="s">
        <v>62</v>
      </c>
      <c r="C112" s="44" t="s">
        <v>61</v>
      </c>
      <c r="D112" s="43">
        <v>60</v>
      </c>
      <c r="E112" s="41">
        <v>0</v>
      </c>
      <c r="F112" s="41">
        <v>0</v>
      </c>
      <c r="G112" s="41">
        <v>5</v>
      </c>
      <c r="H112" s="41">
        <v>0</v>
      </c>
      <c r="I112" s="41">
        <v>35</v>
      </c>
      <c r="J112" s="42">
        <v>0</v>
      </c>
      <c r="K112" s="41">
        <v>0</v>
      </c>
      <c r="L112" s="40" t="b">
        <v>1</v>
      </c>
      <c r="M112" s="38">
        <v>5</v>
      </c>
      <c r="N112" s="38">
        <v>5</v>
      </c>
      <c r="O112" s="39">
        <v>0</v>
      </c>
      <c r="P112" s="38">
        <v>0</v>
      </c>
      <c r="Q112" s="37" t="b">
        <v>1</v>
      </c>
      <c r="R112" s="36" t="b">
        <v>0</v>
      </c>
      <c r="S112" s="35" t="b">
        <v>0</v>
      </c>
      <c r="T112" s="34">
        <v>1</v>
      </c>
      <c r="U112" s="33"/>
      <c r="V112" s="32">
        <v>0</v>
      </c>
      <c r="W112" s="31">
        <v>0</v>
      </c>
      <c r="X112" s="30">
        <v>0</v>
      </c>
      <c r="Y112" s="30">
        <v>0</v>
      </c>
      <c r="Z112" s="29">
        <v>0</v>
      </c>
      <c r="AA112" s="28" t="s">
        <v>60</v>
      </c>
      <c r="AB112" s="27" t="s">
        <v>59</v>
      </c>
      <c r="AC112" s="26" t="s">
        <v>58</v>
      </c>
      <c r="AD112" s="26"/>
      <c r="AE112" s="25"/>
    </row>
    <row r="113" spans="1:31" ht="15.75" thickBot="1" x14ac:dyDescent="0.3"/>
    <row r="114" spans="1:31" ht="23.25" x14ac:dyDescent="0.35">
      <c r="A114" s="9" t="s">
        <v>57</v>
      </c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</row>
    <row r="115" spans="1:31" x14ac:dyDescent="0.25">
      <c r="A115" s="23"/>
      <c r="B115" s="23"/>
      <c r="C115" s="23"/>
      <c r="D115" s="23"/>
      <c r="E115" s="23"/>
      <c r="F115" s="214"/>
      <c r="G115" s="214"/>
      <c r="H115" s="22" t="s">
        <v>56</v>
      </c>
      <c r="I115" s="22"/>
      <c r="J115" s="23"/>
      <c r="K115" s="18"/>
      <c r="L115" s="18"/>
      <c r="M115" s="18" t="s">
        <v>55</v>
      </c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22"/>
      <c r="AB115" s="22"/>
      <c r="AC115" s="22"/>
      <c r="AD115" s="22"/>
      <c r="AE115" s="18"/>
    </row>
    <row r="116" spans="1:31" ht="145.5" x14ac:dyDescent="0.25">
      <c r="A116" s="7" t="s">
        <v>54</v>
      </c>
      <c r="B116" s="7" t="s">
        <v>17</v>
      </c>
      <c r="C116" s="7" t="s">
        <v>53</v>
      </c>
      <c r="D116" s="21" t="s">
        <v>52</v>
      </c>
      <c r="E116" s="21" t="s">
        <v>51</v>
      </c>
      <c r="F116" s="21" t="s">
        <v>50</v>
      </c>
      <c r="G116" s="21" t="s">
        <v>49</v>
      </c>
      <c r="H116" s="21" t="s">
        <v>48</v>
      </c>
      <c r="I116" s="21" t="s">
        <v>47</v>
      </c>
      <c r="J116" s="21" t="s">
        <v>46</v>
      </c>
      <c r="K116" s="21" t="s">
        <v>45</v>
      </c>
      <c r="L116" s="21" t="s">
        <v>44</v>
      </c>
      <c r="M116" s="20" t="s">
        <v>43</v>
      </c>
      <c r="N116" s="20" t="s">
        <v>42</v>
      </c>
      <c r="O116" s="20" t="s">
        <v>41</v>
      </c>
    </row>
    <row r="117" spans="1:31" x14ac:dyDescent="0.25">
      <c r="A117" s="17" t="s">
        <v>2</v>
      </c>
      <c r="B117" s="16" t="s">
        <v>40</v>
      </c>
      <c r="C117" s="16" t="s">
        <v>38</v>
      </c>
      <c r="D117" s="15" t="s">
        <v>30</v>
      </c>
      <c r="E117" s="15">
        <v>3</v>
      </c>
      <c r="F117" s="19">
        <v>0</v>
      </c>
      <c r="G117" s="19">
        <v>0</v>
      </c>
      <c r="H117" s="19">
        <v>0</v>
      </c>
      <c r="I117" s="19">
        <v>0</v>
      </c>
      <c r="J117" s="12">
        <v>2</v>
      </c>
      <c r="K117" s="12">
        <v>0</v>
      </c>
      <c r="L117" s="12">
        <v>0</v>
      </c>
      <c r="M117" s="11" t="s">
        <v>22</v>
      </c>
      <c r="N117" s="11" t="s">
        <v>21</v>
      </c>
      <c r="O117" s="10" t="s">
        <v>20</v>
      </c>
      <c r="P117" s="18"/>
      <c r="Q117" s="18"/>
    </row>
    <row r="118" spans="1:31" x14ac:dyDescent="0.25">
      <c r="A118" s="17" t="s">
        <v>2</v>
      </c>
      <c r="B118" s="16" t="s">
        <v>39</v>
      </c>
      <c r="C118" s="16" t="s">
        <v>38</v>
      </c>
      <c r="D118" s="15" t="s">
        <v>23</v>
      </c>
      <c r="E118" s="15">
        <v>3</v>
      </c>
      <c r="F118" s="19">
        <v>0</v>
      </c>
      <c r="G118" s="19">
        <v>1</v>
      </c>
      <c r="H118" s="19">
        <v>0</v>
      </c>
      <c r="I118" s="19">
        <v>0</v>
      </c>
      <c r="J118" s="12">
        <v>2</v>
      </c>
      <c r="K118" s="12">
        <v>0</v>
      </c>
      <c r="L118" s="12">
        <v>0</v>
      </c>
      <c r="M118" s="11" t="s">
        <v>22</v>
      </c>
      <c r="N118" s="11" t="s">
        <v>21</v>
      </c>
      <c r="O118" s="10" t="s">
        <v>20</v>
      </c>
      <c r="P118" s="18"/>
      <c r="Q118" s="18"/>
    </row>
    <row r="119" spans="1:31" x14ac:dyDescent="0.25">
      <c r="A119" s="17" t="s">
        <v>2</v>
      </c>
      <c r="B119" s="16" t="s">
        <v>37</v>
      </c>
      <c r="C119" s="16" t="s">
        <v>35</v>
      </c>
      <c r="D119" s="15" t="s">
        <v>30</v>
      </c>
      <c r="E119" s="15">
        <v>3</v>
      </c>
      <c r="F119" s="19">
        <v>0</v>
      </c>
      <c r="G119" s="19">
        <v>0</v>
      </c>
      <c r="H119" s="19">
        <v>0</v>
      </c>
      <c r="I119" s="19">
        <v>0</v>
      </c>
      <c r="J119" s="12">
        <v>2</v>
      </c>
      <c r="K119" s="12">
        <v>0</v>
      </c>
      <c r="L119" s="12">
        <v>0</v>
      </c>
      <c r="M119" s="11" t="s">
        <v>22</v>
      </c>
      <c r="N119" s="11" t="s">
        <v>21</v>
      </c>
      <c r="O119" s="10" t="s">
        <v>20</v>
      </c>
      <c r="P119" s="18"/>
      <c r="Q119" s="18"/>
    </row>
    <row r="120" spans="1:31" x14ac:dyDescent="0.25">
      <c r="A120" s="17" t="s">
        <v>2</v>
      </c>
      <c r="B120" s="16" t="s">
        <v>36</v>
      </c>
      <c r="C120" s="16" t="s">
        <v>35</v>
      </c>
      <c r="D120" s="15" t="s">
        <v>23</v>
      </c>
      <c r="E120" s="15">
        <v>3</v>
      </c>
      <c r="F120" s="19">
        <v>0</v>
      </c>
      <c r="G120" s="19">
        <v>1</v>
      </c>
      <c r="H120" s="19">
        <v>0</v>
      </c>
      <c r="I120" s="19">
        <v>0</v>
      </c>
      <c r="J120" s="12">
        <v>2</v>
      </c>
      <c r="K120" s="12">
        <v>0</v>
      </c>
      <c r="L120" s="12">
        <v>0</v>
      </c>
      <c r="M120" s="11" t="s">
        <v>22</v>
      </c>
      <c r="N120" s="11" t="s">
        <v>21</v>
      </c>
      <c r="O120" s="10" t="s">
        <v>20</v>
      </c>
      <c r="P120" s="18"/>
      <c r="Q120" s="18"/>
    </row>
    <row r="121" spans="1:31" x14ac:dyDescent="0.25">
      <c r="A121" s="17" t="s">
        <v>2</v>
      </c>
      <c r="B121" s="16" t="s">
        <v>34</v>
      </c>
      <c r="C121" s="16" t="s">
        <v>24</v>
      </c>
      <c r="D121" s="15" t="s">
        <v>30</v>
      </c>
      <c r="E121" s="15">
        <v>3</v>
      </c>
      <c r="F121" s="19">
        <v>0</v>
      </c>
      <c r="G121" s="19">
        <v>0</v>
      </c>
      <c r="H121" s="19">
        <v>0</v>
      </c>
      <c r="I121" s="19">
        <v>0</v>
      </c>
      <c r="J121" s="12">
        <v>2</v>
      </c>
      <c r="K121" s="12">
        <v>0</v>
      </c>
      <c r="L121" s="12">
        <v>0</v>
      </c>
      <c r="M121" s="11" t="s">
        <v>22</v>
      </c>
      <c r="N121" s="11" t="s">
        <v>21</v>
      </c>
      <c r="O121" s="10" t="s">
        <v>20</v>
      </c>
      <c r="P121" s="18"/>
      <c r="Q121" s="18"/>
    </row>
    <row r="122" spans="1:31" x14ac:dyDescent="0.25">
      <c r="A122" s="17" t="s">
        <v>2</v>
      </c>
      <c r="B122" s="16" t="s">
        <v>33</v>
      </c>
      <c r="C122" s="16" t="s">
        <v>24</v>
      </c>
      <c r="D122" s="15" t="s">
        <v>23</v>
      </c>
      <c r="E122" s="15">
        <v>3</v>
      </c>
      <c r="F122" s="19">
        <v>0</v>
      </c>
      <c r="G122" s="19">
        <v>1</v>
      </c>
      <c r="H122" s="19">
        <v>0</v>
      </c>
      <c r="I122" s="19">
        <v>0</v>
      </c>
      <c r="J122" s="12">
        <v>2</v>
      </c>
      <c r="K122" s="12">
        <v>0</v>
      </c>
      <c r="L122" s="12">
        <v>0</v>
      </c>
      <c r="M122" s="11" t="s">
        <v>22</v>
      </c>
      <c r="N122" s="11" t="s">
        <v>21</v>
      </c>
      <c r="O122" s="10" t="s">
        <v>20</v>
      </c>
      <c r="P122" s="18"/>
      <c r="Q122" s="18"/>
    </row>
    <row r="123" spans="1:31" s="8" customFormat="1" x14ac:dyDescent="0.25">
      <c r="A123" s="17" t="s">
        <v>2</v>
      </c>
      <c r="B123" s="16" t="s">
        <v>32</v>
      </c>
      <c r="C123" s="16" t="s">
        <v>24</v>
      </c>
      <c r="D123" s="15" t="s">
        <v>26</v>
      </c>
      <c r="E123" s="15">
        <v>3</v>
      </c>
      <c r="F123" s="19">
        <v>0</v>
      </c>
      <c r="G123" s="19">
        <v>2</v>
      </c>
      <c r="H123" s="19">
        <v>0</v>
      </c>
      <c r="I123" s="19">
        <v>0</v>
      </c>
      <c r="J123" s="12">
        <v>2</v>
      </c>
      <c r="K123" s="12">
        <v>0</v>
      </c>
      <c r="L123" s="12">
        <v>0</v>
      </c>
      <c r="M123" s="11" t="s">
        <v>22</v>
      </c>
      <c r="N123" s="11" t="s">
        <v>21</v>
      </c>
      <c r="O123" s="10" t="s">
        <v>20</v>
      </c>
      <c r="P123" s="18"/>
      <c r="Q123" s="18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1:31" x14ac:dyDescent="0.25">
      <c r="A124" s="17" t="s">
        <v>2</v>
      </c>
      <c r="B124" s="16" t="s">
        <v>31</v>
      </c>
      <c r="C124" s="16" t="s">
        <v>27</v>
      </c>
      <c r="D124" s="15" t="s">
        <v>30</v>
      </c>
      <c r="E124" s="15">
        <v>3</v>
      </c>
      <c r="F124" s="19">
        <v>0</v>
      </c>
      <c r="G124" s="19">
        <v>0</v>
      </c>
      <c r="H124" s="19">
        <v>0</v>
      </c>
      <c r="I124" s="19">
        <v>0</v>
      </c>
      <c r="J124" s="12">
        <v>2</v>
      </c>
      <c r="K124" s="12">
        <v>0</v>
      </c>
      <c r="L124" s="12">
        <v>0</v>
      </c>
      <c r="M124" s="11" t="s">
        <v>22</v>
      </c>
      <c r="N124" s="11" t="s">
        <v>21</v>
      </c>
      <c r="O124" s="10" t="s">
        <v>20</v>
      </c>
      <c r="P124" s="18"/>
      <c r="Q124" s="18"/>
    </row>
    <row r="125" spans="1:31" x14ac:dyDescent="0.25">
      <c r="A125" s="17" t="s">
        <v>2</v>
      </c>
      <c r="B125" s="16" t="s">
        <v>29</v>
      </c>
      <c r="C125" s="16" t="s">
        <v>27</v>
      </c>
      <c r="D125" s="15" t="s">
        <v>23</v>
      </c>
      <c r="E125" s="15">
        <v>3</v>
      </c>
      <c r="F125" s="19">
        <v>0</v>
      </c>
      <c r="G125" s="19">
        <v>1</v>
      </c>
      <c r="H125" s="19">
        <v>0</v>
      </c>
      <c r="I125" s="19">
        <v>0</v>
      </c>
      <c r="J125" s="12">
        <v>2</v>
      </c>
      <c r="K125" s="12">
        <v>0</v>
      </c>
      <c r="L125" s="12">
        <v>0</v>
      </c>
      <c r="M125" s="11" t="s">
        <v>22</v>
      </c>
      <c r="N125" s="11" t="s">
        <v>21</v>
      </c>
      <c r="O125" s="10" t="s">
        <v>20</v>
      </c>
      <c r="P125" s="18"/>
      <c r="Q125" s="18"/>
    </row>
    <row r="126" spans="1:31" x14ac:dyDescent="0.25">
      <c r="A126" s="17" t="s">
        <v>2</v>
      </c>
      <c r="B126" s="16" t="s">
        <v>28</v>
      </c>
      <c r="C126" s="16" t="s">
        <v>27</v>
      </c>
      <c r="D126" s="15" t="s">
        <v>26</v>
      </c>
      <c r="E126" s="15">
        <v>3</v>
      </c>
      <c r="F126" s="19">
        <v>0</v>
      </c>
      <c r="G126" s="19">
        <v>2</v>
      </c>
      <c r="H126" s="19">
        <v>0</v>
      </c>
      <c r="I126" s="19">
        <v>0</v>
      </c>
      <c r="J126" s="12">
        <v>2</v>
      </c>
      <c r="K126" s="12">
        <v>0</v>
      </c>
      <c r="L126" s="12">
        <v>0</v>
      </c>
      <c r="M126" s="11" t="s">
        <v>22</v>
      </c>
      <c r="N126" s="11" t="s">
        <v>21</v>
      </c>
      <c r="O126" s="10" t="s">
        <v>20</v>
      </c>
      <c r="P126" s="18"/>
      <c r="Q126" s="18"/>
    </row>
    <row r="127" spans="1:31" x14ac:dyDescent="0.25">
      <c r="A127" s="17" t="s">
        <v>2</v>
      </c>
      <c r="B127" s="16" t="s">
        <v>25</v>
      </c>
      <c r="C127" s="16" t="s">
        <v>24</v>
      </c>
      <c r="D127" s="15" t="s">
        <v>23</v>
      </c>
      <c r="E127" s="14">
        <v>1</v>
      </c>
      <c r="F127" s="13">
        <v>0</v>
      </c>
      <c r="G127" s="13">
        <v>1</v>
      </c>
      <c r="H127" s="13">
        <v>0</v>
      </c>
      <c r="I127" s="13">
        <v>0</v>
      </c>
      <c r="J127" s="12">
        <v>2</v>
      </c>
      <c r="K127" s="12">
        <v>0</v>
      </c>
      <c r="L127" s="12">
        <v>0</v>
      </c>
      <c r="M127" s="11" t="s">
        <v>22</v>
      </c>
      <c r="N127" s="11" t="s">
        <v>21</v>
      </c>
      <c r="O127" s="10" t="s">
        <v>20</v>
      </c>
    </row>
    <row r="128" spans="1:31" x14ac:dyDescent="0.25"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</row>
    <row r="129" spans="1:12" ht="15.75" thickBot="1" x14ac:dyDescent="0.3"/>
    <row r="130" spans="1:12" ht="23.25" x14ac:dyDescent="0.35">
      <c r="A130" s="9" t="s">
        <v>19</v>
      </c>
      <c r="B130" s="9"/>
      <c r="C130" s="9"/>
      <c r="D130" s="9"/>
      <c r="E130" s="8"/>
      <c r="F130" s="8"/>
      <c r="G130" s="8"/>
      <c r="H130" s="8"/>
      <c r="I130" s="8"/>
      <c r="J130" s="8"/>
      <c r="K130" s="8"/>
      <c r="L130" s="8"/>
    </row>
    <row r="132" spans="1:12" ht="159.75" x14ac:dyDescent="0.25">
      <c r="A132" s="7" t="s">
        <v>18</v>
      </c>
      <c r="B132" s="6" t="s">
        <v>17</v>
      </c>
      <c r="C132" s="6" t="s">
        <v>16</v>
      </c>
      <c r="D132" s="5" t="s">
        <v>15</v>
      </c>
      <c r="E132" s="5" t="s">
        <v>14</v>
      </c>
      <c r="F132" s="5" t="s">
        <v>13</v>
      </c>
      <c r="G132" s="5" t="s">
        <v>12</v>
      </c>
      <c r="H132" s="5" t="s">
        <v>11</v>
      </c>
    </row>
    <row r="133" spans="1:12" x14ac:dyDescent="0.25">
      <c r="A133" s="4" t="s">
        <v>2</v>
      </c>
      <c r="B133" s="3" t="s">
        <v>10</v>
      </c>
      <c r="C133" s="3" t="s">
        <v>9</v>
      </c>
      <c r="D133" s="2">
        <v>42</v>
      </c>
      <c r="E133" s="2">
        <v>8</v>
      </c>
      <c r="F133" s="2">
        <v>1.3</v>
      </c>
      <c r="G133" s="2">
        <v>2</v>
      </c>
      <c r="H133" s="2">
        <v>0.25</v>
      </c>
    </row>
    <row r="134" spans="1:12" x14ac:dyDescent="0.25">
      <c r="A134" s="4" t="s">
        <v>2</v>
      </c>
      <c r="B134" s="3" t="s">
        <v>8</v>
      </c>
      <c r="C134" s="3" t="s">
        <v>7</v>
      </c>
      <c r="D134" s="2">
        <v>92</v>
      </c>
      <c r="E134" s="2">
        <v>10</v>
      </c>
      <c r="F134" s="2">
        <v>1.1000000000000001</v>
      </c>
      <c r="G134" s="2">
        <v>2</v>
      </c>
      <c r="H134" s="2">
        <v>0.3</v>
      </c>
    </row>
    <row r="135" spans="1:12" x14ac:dyDescent="0.25">
      <c r="A135" s="4" t="s">
        <v>2</v>
      </c>
      <c r="B135" s="3" t="s">
        <v>6</v>
      </c>
      <c r="C135" s="3" t="s">
        <v>5</v>
      </c>
      <c r="D135" s="2">
        <v>235</v>
      </c>
      <c r="E135" s="2">
        <v>12</v>
      </c>
      <c r="F135" s="2">
        <v>0.9</v>
      </c>
      <c r="G135" s="2">
        <v>2</v>
      </c>
      <c r="H135" s="2">
        <v>0.32500000000000001</v>
      </c>
    </row>
    <row r="136" spans="1:12" x14ac:dyDescent="0.25">
      <c r="A136" s="4" t="s">
        <v>2</v>
      </c>
      <c r="B136" s="3" t="s">
        <v>4</v>
      </c>
      <c r="C136" s="3" t="s">
        <v>3</v>
      </c>
      <c r="D136" s="2">
        <v>686</v>
      </c>
      <c r="E136" s="2">
        <v>14</v>
      </c>
      <c r="F136" s="2">
        <v>0.7</v>
      </c>
      <c r="G136" s="2">
        <v>2</v>
      </c>
      <c r="H136" s="2">
        <v>0.35</v>
      </c>
    </row>
    <row r="137" spans="1:12" x14ac:dyDescent="0.25">
      <c r="A137" s="4" t="s">
        <v>2</v>
      </c>
      <c r="B137" s="3" t="s">
        <v>1</v>
      </c>
      <c r="C137" s="3" t="s">
        <v>0</v>
      </c>
      <c r="D137" s="2">
        <v>1040</v>
      </c>
      <c r="E137" s="2">
        <v>14</v>
      </c>
      <c r="F137" s="2">
        <v>0.5</v>
      </c>
      <c r="G137" s="2">
        <v>2</v>
      </c>
      <c r="H137" s="2">
        <v>0.35</v>
      </c>
    </row>
    <row r="140" spans="1:12" x14ac:dyDescent="0.25">
      <c r="D140" s="1">
        <v>42</v>
      </c>
      <c r="F140" s="1">
        <v>1.3</v>
      </c>
      <c r="G140">
        <f>D133*F133</f>
        <v>54.6</v>
      </c>
      <c r="I140">
        <f>D140*F140</f>
        <v>54.6</v>
      </c>
    </row>
    <row r="141" spans="1:12" x14ac:dyDescent="0.25">
      <c r="D141" s="1">
        <v>92</v>
      </c>
      <c r="F141" s="1">
        <v>1.1000000000000001</v>
      </c>
      <c r="G141">
        <f>D134*F134</f>
        <v>101.2</v>
      </c>
      <c r="I141">
        <f>D141*F141</f>
        <v>101.2</v>
      </c>
    </row>
    <row r="142" spans="1:12" x14ac:dyDescent="0.25">
      <c r="D142" s="1">
        <v>235</v>
      </c>
      <c r="F142" s="1">
        <v>0.9</v>
      </c>
      <c r="G142">
        <f>D135*F135</f>
        <v>211.5</v>
      </c>
      <c r="I142">
        <f>D142*F142</f>
        <v>211.5</v>
      </c>
    </row>
    <row r="143" spans="1:12" x14ac:dyDescent="0.25">
      <c r="D143" s="1">
        <v>686</v>
      </c>
      <c r="F143" s="1">
        <v>0.7</v>
      </c>
      <c r="G143">
        <f>D136*F136</f>
        <v>480.2</v>
      </c>
      <c r="I143">
        <f>D143*F143</f>
        <v>480.2</v>
      </c>
    </row>
    <row r="144" spans="1:12" x14ac:dyDescent="0.25">
      <c r="D144" s="1">
        <v>1040</v>
      </c>
      <c r="F144" s="1">
        <v>0.5</v>
      </c>
      <c r="G144">
        <f>D137*F137</f>
        <v>520</v>
      </c>
      <c r="I144">
        <f>D144*F144</f>
        <v>520</v>
      </c>
    </row>
  </sheetData>
  <mergeCells count="3">
    <mergeCell ref="E21:F21"/>
    <mergeCell ref="E3:F3"/>
    <mergeCell ref="F115:G115"/>
  </mergeCells>
  <conditionalFormatting sqref="M96:P9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5:P77 M23:P24 M49:P59 M30:P47 M79:P84 M86:P91 M61:P70 M26:P27 M93:P96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1:P7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2:P72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8:P4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8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9:P2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8:P7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5:P85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5:P2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92:P9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3:P7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4:P74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97:P9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98:P9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99:P9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00:P10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01:P10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02:P10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3:P10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04:P104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0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06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06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0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0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0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0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07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0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0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0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0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09:P10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0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0:P11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1:P11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0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0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0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2:P1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0">
    <dataValidation type="list" sqref="O23:O112">
      <formula1>INDIRECT("dragonTierDefinitions['[order']]")</formula1>
    </dataValidation>
    <dataValidation type="decimal" showInputMessage="1" showErrorMessage="1" prompt="probability [0..1]" sqref="J23:K112">
      <formula1>0</formula1>
      <formula2>1</formula2>
    </dataValidation>
    <dataValidation type="whole" operator="greaterThanOrEqual" showInputMessage="1" showErrorMessage="1" sqref="D23:F112">
      <formula1>0</formula1>
    </dataValidation>
    <dataValidation type="list" sqref="L23:L112">
      <formula1>"true,false"</formula1>
    </dataValidation>
    <dataValidation operator="greaterThanOrEqual" showInputMessage="1" showErrorMessage="1" sqref="G42"/>
    <dataValidation type="decimal" operator="greaterThanOrEqual" showInputMessage="1" showErrorMessage="1" sqref="H41:I42 G41 G23:I40 G43:I112">
      <formula1>0</formula1>
    </dataValidation>
    <dataValidation type="decimal" allowBlank="1" sqref="D117:G127 P23:V112 M23:N112">
      <formula1>1</formula1>
      <formula2>10</formula2>
    </dataValidation>
    <dataValidation type="decimal" allowBlank="1" showInputMessage="1" prompt="probability [0..1]" sqref="H117:L126 H127:I127 W23:Z112">
      <formula1>0</formula1>
      <formula2>1</formula2>
    </dataValidation>
    <dataValidation type="list" allowBlank="1" showInputMessage="1" showErrorMessage="1" sqref="C117:C127 C23:C112">
      <formula1>INDIRECT("entityCategoryDefinitions['[sku']]")</formula1>
    </dataValidation>
    <dataValidation allowBlank="1" showErrorMessage="1" prompt="percentage [0..1]" sqref="M117:O127 J127:L127 AA23:AA98 AA100:AA112 AB23:AE112"/>
  </dataValidation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/>
  </sheetPr>
  <dimension ref="A1:Y7"/>
  <sheetViews>
    <sheetView topLeftCell="H1" workbookViewId="0">
      <selection activeCell="AB114" sqref="AB114"/>
    </sheetView>
  </sheetViews>
  <sheetFormatPr defaultColWidth="255.42578125" defaultRowHeight="15" x14ac:dyDescent="0.25"/>
  <cols>
    <col min="1" max="1" width="135.42578125" bestFit="1" customWidth="1"/>
    <col min="2" max="4" width="8.42578125" bestFit="1" customWidth="1"/>
    <col min="5" max="5" width="12.28515625" bestFit="1" customWidth="1"/>
    <col min="6" max="6" width="179.28515625" bestFit="1" customWidth="1"/>
    <col min="7" max="7" width="45.42578125" bestFit="1" customWidth="1"/>
    <col min="8" max="8" width="23" bestFit="1" customWidth="1"/>
    <col min="9" max="9" width="44" bestFit="1" customWidth="1"/>
    <col min="10" max="10" width="41" bestFit="1" customWidth="1"/>
    <col min="11" max="11" width="22.7109375" bestFit="1" customWidth="1"/>
    <col min="12" max="12" width="26.85546875" bestFit="1" customWidth="1"/>
    <col min="13" max="13" width="13.140625" bestFit="1" customWidth="1"/>
    <col min="14" max="14" width="22.140625" bestFit="1" customWidth="1"/>
    <col min="15" max="20" width="8.42578125" bestFit="1" customWidth="1"/>
    <col min="21" max="21" width="24.85546875" bestFit="1" customWidth="1"/>
    <col min="22" max="22" width="27.85546875" bestFit="1" customWidth="1"/>
    <col min="23" max="23" width="9.7109375" bestFit="1" customWidth="1"/>
  </cols>
  <sheetData>
    <row r="1" spans="1:25" ht="15.75" thickBot="1" x14ac:dyDescent="0.3"/>
    <row r="2" spans="1:25" ht="23.25" x14ac:dyDescent="0.35">
      <c r="A2" s="9" t="s">
        <v>452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</row>
    <row r="3" spans="1:25" x14ac:dyDescent="0.25">
      <c r="A3" s="194" t="s">
        <v>451</v>
      </c>
      <c r="B3" s="23"/>
      <c r="C3" s="23"/>
      <c r="D3" s="23"/>
      <c r="E3" s="23"/>
      <c r="F3" s="23"/>
      <c r="G3" s="23"/>
    </row>
    <row r="4" spans="1:25" ht="96" x14ac:dyDescent="0.25">
      <c r="A4" s="7" t="s">
        <v>450</v>
      </c>
      <c r="B4" s="7" t="s">
        <v>17</v>
      </c>
      <c r="C4" s="193" t="s">
        <v>449</v>
      </c>
      <c r="D4" s="192" t="s">
        <v>448</v>
      </c>
      <c r="E4" s="191" t="s">
        <v>447</v>
      </c>
      <c r="F4" s="191" t="s">
        <v>446</v>
      </c>
      <c r="G4" s="191" t="s">
        <v>445</v>
      </c>
      <c r="H4" s="191" t="s">
        <v>444</v>
      </c>
      <c r="I4" s="191" t="s">
        <v>443</v>
      </c>
      <c r="J4" s="191" t="s">
        <v>442</v>
      </c>
      <c r="K4" s="191" t="s">
        <v>441</v>
      </c>
      <c r="L4" s="191" t="s">
        <v>440</v>
      </c>
      <c r="M4" s="191" t="s">
        <v>439</v>
      </c>
      <c r="N4" s="191" t="s">
        <v>438</v>
      </c>
      <c r="O4" s="191" t="s">
        <v>437</v>
      </c>
      <c r="P4" s="191" t="s">
        <v>436</v>
      </c>
      <c r="Q4" s="191" t="s">
        <v>435</v>
      </c>
      <c r="R4" s="191" t="s">
        <v>434</v>
      </c>
      <c r="S4" s="191" t="s">
        <v>433</v>
      </c>
      <c r="T4" s="191" t="s">
        <v>432</v>
      </c>
      <c r="U4" s="191" t="s">
        <v>431</v>
      </c>
      <c r="V4" s="191" t="s">
        <v>430</v>
      </c>
      <c r="W4" s="190" t="s">
        <v>429</v>
      </c>
      <c r="X4" s="189" t="s">
        <v>428</v>
      </c>
      <c r="Y4" s="188" t="s">
        <v>427</v>
      </c>
    </row>
    <row r="5" spans="1:25" x14ac:dyDescent="0.25">
      <c r="A5" s="171" t="s">
        <v>2</v>
      </c>
      <c r="B5" s="187" t="s">
        <v>426</v>
      </c>
      <c r="C5" s="186">
        <v>0</v>
      </c>
      <c r="D5" s="185">
        <v>0</v>
      </c>
      <c r="E5" s="179" t="s">
        <v>425</v>
      </c>
      <c r="F5" s="179" t="s">
        <v>424</v>
      </c>
      <c r="G5" s="179" t="s">
        <v>423</v>
      </c>
      <c r="H5" s="179" t="s">
        <v>422</v>
      </c>
      <c r="I5" s="179" t="s">
        <v>421</v>
      </c>
      <c r="J5" s="179" t="s">
        <v>420</v>
      </c>
      <c r="K5" s="179" t="s">
        <v>406</v>
      </c>
      <c r="L5" s="179" t="s">
        <v>406</v>
      </c>
      <c r="M5" s="179" t="s">
        <v>406</v>
      </c>
      <c r="N5" s="179" t="s">
        <v>406</v>
      </c>
      <c r="O5" s="179" t="s">
        <v>406</v>
      </c>
      <c r="P5" s="179" t="s">
        <v>406</v>
      </c>
      <c r="Q5" s="179" t="s">
        <v>406</v>
      </c>
      <c r="R5" s="179" t="s">
        <v>406</v>
      </c>
      <c r="S5" s="179" t="s">
        <v>406</v>
      </c>
      <c r="T5" s="179" t="s">
        <v>406</v>
      </c>
      <c r="U5" s="179" t="s">
        <v>419</v>
      </c>
      <c r="V5" s="179" t="s">
        <v>418</v>
      </c>
      <c r="W5" s="184" t="b">
        <v>0</v>
      </c>
      <c r="X5" s="183" t="s">
        <v>417</v>
      </c>
      <c r="Y5" s="182" t="s">
        <v>411</v>
      </c>
    </row>
    <row r="6" spans="1:25" x14ac:dyDescent="0.25">
      <c r="A6" s="171" t="s">
        <v>2</v>
      </c>
      <c r="B6" s="187" t="s">
        <v>416</v>
      </c>
      <c r="C6" s="186">
        <v>1</v>
      </c>
      <c r="D6" s="185">
        <v>0</v>
      </c>
      <c r="E6" s="179" t="s">
        <v>415</v>
      </c>
      <c r="F6" s="179" t="s">
        <v>414</v>
      </c>
      <c r="G6" s="179"/>
      <c r="H6" s="179" t="s">
        <v>413</v>
      </c>
      <c r="I6" s="179"/>
      <c r="J6" s="179"/>
      <c r="K6" s="179" t="s">
        <v>406</v>
      </c>
      <c r="L6" s="179" t="s">
        <v>406</v>
      </c>
      <c r="M6" s="179" t="s">
        <v>406</v>
      </c>
      <c r="N6" s="179" t="s">
        <v>406</v>
      </c>
      <c r="O6" s="179" t="s">
        <v>406</v>
      </c>
      <c r="P6" s="179" t="s">
        <v>406</v>
      </c>
      <c r="Q6" s="179" t="s">
        <v>406</v>
      </c>
      <c r="R6" s="179" t="s">
        <v>406</v>
      </c>
      <c r="S6" s="179" t="s">
        <v>406</v>
      </c>
      <c r="T6" s="179" t="s">
        <v>406</v>
      </c>
      <c r="U6" s="179"/>
      <c r="V6" s="179"/>
      <c r="W6" s="184" t="b">
        <v>0</v>
      </c>
      <c r="X6" s="183" t="s">
        <v>412</v>
      </c>
      <c r="Y6" s="182" t="s">
        <v>411</v>
      </c>
    </row>
    <row r="7" spans="1:25" x14ac:dyDescent="0.25">
      <c r="A7" s="169" t="s">
        <v>2</v>
      </c>
      <c r="B7" s="169" t="s">
        <v>410</v>
      </c>
      <c r="C7" s="181">
        <v>2</v>
      </c>
      <c r="D7" s="180">
        <v>0</v>
      </c>
      <c r="E7" s="179" t="s">
        <v>409</v>
      </c>
      <c r="F7" s="177" t="s">
        <v>408</v>
      </c>
      <c r="G7" s="178"/>
      <c r="H7" s="178" t="s">
        <v>407</v>
      </c>
      <c r="I7" s="178"/>
      <c r="J7" s="178"/>
      <c r="K7" s="177" t="s">
        <v>406</v>
      </c>
      <c r="L7" s="177" t="s">
        <v>406</v>
      </c>
      <c r="M7" s="177" t="s">
        <v>406</v>
      </c>
      <c r="N7" s="177" t="s">
        <v>406</v>
      </c>
      <c r="O7" s="177" t="s">
        <v>406</v>
      </c>
      <c r="P7" s="177" t="s">
        <v>406</v>
      </c>
      <c r="Q7" s="177" t="s">
        <v>406</v>
      </c>
      <c r="R7" s="177" t="s">
        <v>406</v>
      </c>
      <c r="S7" s="177" t="s">
        <v>406</v>
      </c>
      <c r="T7" s="177" t="s">
        <v>406</v>
      </c>
      <c r="U7" s="177"/>
      <c r="V7" s="177"/>
      <c r="W7" s="176" t="b">
        <v>0</v>
      </c>
      <c r="X7" s="175" t="s">
        <v>405</v>
      </c>
      <c r="Y7" s="174" t="s">
        <v>405</v>
      </c>
    </row>
  </sheetData>
  <conditionalFormatting sqref="B6">
    <cfRule type="duplicateValues" dxfId="2" priority="2"/>
  </conditionalFormatting>
  <conditionalFormatting sqref="B7">
    <cfRule type="duplicateValues" dxfId="1" priority="1"/>
  </conditionalFormatting>
  <conditionalFormatting sqref="B5">
    <cfRule type="duplicateValues" dxfId="0" priority="3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B1:K50"/>
  <sheetViews>
    <sheetView tabSelected="1" workbookViewId="0"/>
  </sheetViews>
  <sheetFormatPr defaultColWidth="11.42578125" defaultRowHeight="15" x14ac:dyDescent="0.25"/>
  <cols>
    <col min="1" max="1" width="4" customWidth="1"/>
    <col min="2" max="2" width="48.7109375" bestFit="1" customWidth="1"/>
    <col min="3" max="3" width="16.42578125" bestFit="1" customWidth="1"/>
    <col min="4" max="5" width="22.28515625" bestFit="1" customWidth="1"/>
    <col min="6" max="6" width="26.7109375" customWidth="1"/>
    <col min="7" max="7" width="15" customWidth="1"/>
    <col min="8" max="8" width="29.85546875" customWidth="1"/>
    <col min="9" max="28" width="15" customWidth="1"/>
  </cols>
  <sheetData>
    <row r="1" spans="2:11" ht="15.75" thickBot="1" x14ac:dyDescent="0.3"/>
    <row r="2" spans="2:11" ht="23.25" x14ac:dyDescent="0.35">
      <c r="B2" s="9" t="s">
        <v>508</v>
      </c>
      <c r="C2" s="9"/>
      <c r="D2" s="9"/>
      <c r="E2" s="9"/>
      <c r="F2" s="9"/>
      <c r="G2" s="9"/>
      <c r="H2" s="9"/>
      <c r="I2" s="9"/>
      <c r="J2" s="9"/>
      <c r="K2" s="9"/>
    </row>
    <row r="3" spans="2:11" x14ac:dyDescent="0.25">
      <c r="B3" s="173"/>
      <c r="C3" s="23"/>
      <c r="D3" s="23"/>
      <c r="E3" s="23"/>
      <c r="F3" s="214"/>
      <c r="G3" s="214"/>
      <c r="H3" s="23"/>
      <c r="I3" s="22"/>
      <c r="J3" s="172"/>
      <c r="K3" s="172"/>
    </row>
    <row r="4" spans="2:11" ht="136.5" x14ac:dyDescent="0.25">
      <c r="B4" s="7" t="s">
        <v>507</v>
      </c>
      <c r="C4" s="6" t="s">
        <v>17</v>
      </c>
      <c r="D4" s="6" t="s">
        <v>506</v>
      </c>
      <c r="E4" s="21" t="s">
        <v>505</v>
      </c>
      <c r="F4" s="21" t="s">
        <v>504</v>
      </c>
      <c r="G4" s="21" t="s">
        <v>13</v>
      </c>
      <c r="H4" s="20" t="s">
        <v>503</v>
      </c>
    </row>
    <row r="5" spans="2:11" x14ac:dyDescent="0.25">
      <c r="B5" s="212" t="s">
        <v>2</v>
      </c>
      <c r="C5" s="211" t="s">
        <v>502</v>
      </c>
      <c r="D5" s="211">
        <v>0</v>
      </c>
      <c r="E5" s="210">
        <v>1</v>
      </c>
      <c r="F5" s="210">
        <v>0</v>
      </c>
      <c r="G5" s="210">
        <v>-1</v>
      </c>
      <c r="H5" s="209"/>
    </row>
    <row r="6" spans="2:11" x14ac:dyDescent="0.25">
      <c r="B6" s="212" t="s">
        <v>2</v>
      </c>
      <c r="C6" s="3" t="s">
        <v>501</v>
      </c>
      <c r="D6" s="3">
        <v>1</v>
      </c>
      <c r="E6" s="213">
        <v>2</v>
      </c>
      <c r="F6" s="213">
        <v>8</v>
      </c>
      <c r="G6" s="213">
        <v>3</v>
      </c>
      <c r="H6" s="209"/>
    </row>
    <row r="7" spans="2:11" x14ac:dyDescent="0.25">
      <c r="B7" s="208" t="s">
        <v>478</v>
      </c>
      <c r="C7" s="170"/>
      <c r="D7" s="170"/>
      <c r="E7" s="207"/>
      <c r="F7" s="207"/>
      <c r="G7" s="207"/>
      <c r="H7" s="205" t="s">
        <v>500</v>
      </c>
    </row>
    <row r="8" spans="2:11" x14ac:dyDescent="0.25">
      <c r="B8" s="208" t="s">
        <v>478</v>
      </c>
      <c r="C8" s="170"/>
      <c r="D8" s="170"/>
      <c r="E8" s="207"/>
      <c r="F8" s="207"/>
      <c r="G8" s="207"/>
      <c r="H8" s="205" t="s">
        <v>499</v>
      </c>
    </row>
    <row r="9" spans="2:11" x14ac:dyDescent="0.25">
      <c r="B9" s="208" t="s">
        <v>478</v>
      </c>
      <c r="C9" s="170"/>
      <c r="D9" s="170"/>
      <c r="E9" s="207"/>
      <c r="F9" s="207"/>
      <c r="G9" s="207"/>
      <c r="H9" s="205" t="s">
        <v>498</v>
      </c>
    </row>
    <row r="10" spans="2:11" x14ac:dyDescent="0.25">
      <c r="B10" s="212" t="s">
        <v>2</v>
      </c>
      <c r="C10" s="211" t="s">
        <v>497</v>
      </c>
      <c r="D10" s="211">
        <v>2</v>
      </c>
      <c r="E10" s="210">
        <v>4</v>
      </c>
      <c r="F10" s="210">
        <v>22</v>
      </c>
      <c r="G10" s="210">
        <v>2.5</v>
      </c>
      <c r="H10" s="209"/>
    </row>
    <row r="11" spans="2:11" x14ac:dyDescent="0.25">
      <c r="B11" s="208" t="s">
        <v>478</v>
      </c>
      <c r="C11" s="170"/>
      <c r="D11" s="170"/>
      <c r="E11" s="207"/>
      <c r="F11" s="207"/>
      <c r="G11" s="207"/>
      <c r="H11" s="205" t="s">
        <v>496</v>
      </c>
    </row>
    <row r="12" spans="2:11" x14ac:dyDescent="0.25">
      <c r="B12" s="208" t="s">
        <v>478</v>
      </c>
      <c r="C12" s="170"/>
      <c r="D12" s="170"/>
      <c r="E12" s="207"/>
      <c r="F12" s="207"/>
      <c r="G12" s="207"/>
      <c r="H12" s="205" t="s">
        <v>495</v>
      </c>
    </row>
    <row r="13" spans="2:11" x14ac:dyDescent="0.25">
      <c r="B13" s="208" t="s">
        <v>478</v>
      </c>
      <c r="C13" s="170"/>
      <c r="D13" s="170"/>
      <c r="E13" s="207"/>
      <c r="F13" s="207"/>
      <c r="G13" s="207"/>
      <c r="H13" s="205" t="s">
        <v>494</v>
      </c>
    </row>
    <row r="14" spans="2:11" x14ac:dyDescent="0.25">
      <c r="B14" s="212" t="s">
        <v>2</v>
      </c>
      <c r="C14" s="211" t="s">
        <v>493</v>
      </c>
      <c r="D14" s="211">
        <v>3</v>
      </c>
      <c r="E14" s="210">
        <v>6</v>
      </c>
      <c r="F14" s="210">
        <v>32</v>
      </c>
      <c r="G14" s="210">
        <v>2.5</v>
      </c>
      <c r="H14" s="209"/>
    </row>
    <row r="15" spans="2:11" x14ac:dyDescent="0.25">
      <c r="B15" s="208" t="s">
        <v>478</v>
      </c>
      <c r="C15" s="170"/>
      <c r="D15" s="170"/>
      <c r="E15" s="207"/>
      <c r="F15" s="207"/>
      <c r="G15" s="207"/>
      <c r="H15" s="205" t="s">
        <v>492</v>
      </c>
    </row>
    <row r="16" spans="2:11" x14ac:dyDescent="0.25">
      <c r="B16" s="208" t="s">
        <v>478</v>
      </c>
      <c r="C16" s="170"/>
      <c r="D16" s="170"/>
      <c r="E16" s="207"/>
      <c r="F16" s="207"/>
      <c r="G16" s="207"/>
      <c r="H16" s="205" t="s">
        <v>491</v>
      </c>
    </row>
    <row r="17" spans="2:8" x14ac:dyDescent="0.25">
      <c r="B17" s="208" t="s">
        <v>478</v>
      </c>
      <c r="C17" s="170"/>
      <c r="D17" s="170"/>
      <c r="E17" s="207"/>
      <c r="F17" s="207"/>
      <c r="G17" s="207"/>
      <c r="H17" s="205" t="s">
        <v>490</v>
      </c>
    </row>
    <row r="18" spans="2:8" x14ac:dyDescent="0.25">
      <c r="B18" s="212" t="s">
        <v>2</v>
      </c>
      <c r="C18" s="211" t="s">
        <v>489</v>
      </c>
      <c r="D18" s="211">
        <v>4</v>
      </c>
      <c r="E18" s="210">
        <v>8</v>
      </c>
      <c r="F18" s="210">
        <v>50</v>
      </c>
      <c r="G18" s="210">
        <v>2</v>
      </c>
      <c r="H18" s="209"/>
    </row>
    <row r="19" spans="2:8" x14ac:dyDescent="0.25">
      <c r="B19" s="208" t="s">
        <v>478</v>
      </c>
      <c r="C19" s="170"/>
      <c r="D19" s="170"/>
      <c r="E19" s="207"/>
      <c r="F19" s="207"/>
      <c r="G19" s="207"/>
      <c r="H19" s="205" t="s">
        <v>488</v>
      </c>
    </row>
    <row r="20" spans="2:8" x14ac:dyDescent="0.25">
      <c r="B20" s="208" t="s">
        <v>478</v>
      </c>
      <c r="C20" s="170"/>
      <c r="D20" s="170"/>
      <c r="E20" s="207"/>
      <c r="F20" s="207"/>
      <c r="G20" s="207"/>
      <c r="H20" s="205" t="s">
        <v>487</v>
      </c>
    </row>
    <row r="21" spans="2:8" x14ac:dyDescent="0.25">
      <c r="B21" s="208" t="s">
        <v>478</v>
      </c>
      <c r="C21" s="170"/>
      <c r="D21" s="170"/>
      <c r="E21" s="207"/>
      <c r="F21" s="207"/>
      <c r="G21" s="207"/>
      <c r="H21" s="205" t="s">
        <v>486</v>
      </c>
    </row>
    <row r="22" spans="2:8" x14ac:dyDescent="0.25">
      <c r="B22" s="208" t="s">
        <v>2</v>
      </c>
      <c r="C22" s="170" t="s">
        <v>485</v>
      </c>
      <c r="D22" s="170">
        <v>5</v>
      </c>
      <c r="E22" s="207">
        <v>10</v>
      </c>
      <c r="F22" s="206">
        <v>75</v>
      </c>
      <c r="G22" s="206">
        <v>2</v>
      </c>
      <c r="H22" s="205"/>
    </row>
    <row r="23" spans="2:8" x14ac:dyDescent="0.25">
      <c r="B23" s="208" t="s">
        <v>478</v>
      </c>
      <c r="C23" s="170"/>
      <c r="D23" s="170"/>
      <c r="E23" s="207"/>
      <c r="F23" s="206"/>
      <c r="G23" s="206"/>
      <c r="H23" s="205" t="s">
        <v>484</v>
      </c>
    </row>
    <row r="24" spans="2:8" x14ac:dyDescent="0.25">
      <c r="B24" s="208" t="s">
        <v>2</v>
      </c>
      <c r="C24" s="170" t="s">
        <v>483</v>
      </c>
      <c r="D24" s="170">
        <v>6</v>
      </c>
      <c r="E24" s="207">
        <v>12</v>
      </c>
      <c r="F24" s="206">
        <v>120</v>
      </c>
      <c r="G24" s="206">
        <v>2</v>
      </c>
      <c r="H24" s="205"/>
    </row>
    <row r="25" spans="2:8" x14ac:dyDescent="0.25">
      <c r="B25" s="208" t="s">
        <v>478</v>
      </c>
      <c r="C25" s="170"/>
      <c r="D25" s="170"/>
      <c r="E25" s="207"/>
      <c r="F25" s="206"/>
      <c r="G25" s="206"/>
      <c r="H25" s="205" t="s">
        <v>482</v>
      </c>
    </row>
    <row r="26" spans="2:8" x14ac:dyDescent="0.25">
      <c r="B26" s="208" t="s">
        <v>2</v>
      </c>
      <c r="C26" s="170" t="s">
        <v>481</v>
      </c>
      <c r="D26" s="170">
        <v>7</v>
      </c>
      <c r="E26" s="207">
        <v>14</v>
      </c>
      <c r="F26" s="206">
        <v>5000</v>
      </c>
      <c r="G26" s="206">
        <v>1.5</v>
      </c>
      <c r="H26" s="205"/>
    </row>
    <row r="27" spans="2:8" x14ac:dyDescent="0.25">
      <c r="B27" s="208" t="s">
        <v>478</v>
      </c>
      <c r="C27" s="170"/>
      <c r="D27" s="170"/>
      <c r="E27" s="207"/>
      <c r="F27" s="206"/>
      <c r="G27" s="206"/>
      <c r="H27" s="205" t="s">
        <v>480</v>
      </c>
    </row>
    <row r="28" spans="2:8" x14ac:dyDescent="0.25">
      <c r="B28" s="208" t="s">
        <v>2</v>
      </c>
      <c r="C28" s="170" t="s">
        <v>479</v>
      </c>
      <c r="D28" s="170">
        <v>8</v>
      </c>
      <c r="E28" s="207">
        <v>16</v>
      </c>
      <c r="F28" s="206">
        <v>5000</v>
      </c>
      <c r="G28" s="206">
        <v>1.5</v>
      </c>
      <c r="H28" s="205"/>
    </row>
    <row r="29" spans="2:8" x14ac:dyDescent="0.25">
      <c r="B29" s="208" t="s">
        <v>478</v>
      </c>
      <c r="C29" s="170"/>
      <c r="D29" s="170"/>
      <c r="E29" s="207"/>
      <c r="F29" s="206"/>
      <c r="G29" s="206"/>
      <c r="H29" s="205" t="s">
        <v>477</v>
      </c>
    </row>
    <row r="32" spans="2:8" ht="15.75" thickBot="1" x14ac:dyDescent="0.3"/>
    <row r="33" spans="2:8" ht="23.25" x14ac:dyDescent="0.35">
      <c r="B33" s="9" t="s">
        <v>476</v>
      </c>
      <c r="C33" s="9"/>
      <c r="D33" s="9"/>
      <c r="E33" s="9"/>
      <c r="F33" s="9"/>
      <c r="G33" s="9"/>
      <c r="H33" s="9"/>
    </row>
    <row r="35" spans="2:8" ht="129.75" x14ac:dyDescent="0.25">
      <c r="B35" s="204" t="s">
        <v>475</v>
      </c>
      <c r="C35" s="203" t="s">
        <v>17</v>
      </c>
      <c r="D35" s="203" t="s">
        <v>474</v>
      </c>
      <c r="E35" s="203" t="s">
        <v>473</v>
      </c>
    </row>
    <row r="36" spans="2:8" x14ac:dyDescent="0.25">
      <c r="B36" s="202" t="s">
        <v>2</v>
      </c>
      <c r="C36" s="201" t="s">
        <v>472</v>
      </c>
      <c r="D36" s="201">
        <v>1</v>
      </c>
      <c r="E36" s="200">
        <v>0.1</v>
      </c>
    </row>
    <row r="37" spans="2:8" x14ac:dyDescent="0.25">
      <c r="B37" s="202" t="s">
        <v>2</v>
      </c>
      <c r="C37" s="201" t="s">
        <v>471</v>
      </c>
      <c r="D37" s="201">
        <v>2</v>
      </c>
      <c r="E37" s="200">
        <v>8.7055056329612412E-2</v>
      </c>
    </row>
    <row r="38" spans="2:8" x14ac:dyDescent="0.25">
      <c r="B38" s="202" t="s">
        <v>2</v>
      </c>
      <c r="C38" s="201" t="s">
        <v>470</v>
      </c>
      <c r="D38" s="201">
        <v>3</v>
      </c>
      <c r="E38" s="200">
        <v>8.027415617602307E-2</v>
      </c>
    </row>
    <row r="39" spans="2:8" x14ac:dyDescent="0.25">
      <c r="B39" s="202" t="s">
        <v>2</v>
      </c>
      <c r="C39" s="201" t="s">
        <v>469</v>
      </c>
      <c r="D39" s="201">
        <v>4</v>
      </c>
      <c r="E39" s="200">
        <v>7.5785828325519916E-2</v>
      </c>
    </row>
    <row r="40" spans="2:8" x14ac:dyDescent="0.25">
      <c r="B40" s="202" t="s">
        <v>2</v>
      </c>
      <c r="C40" s="201" t="s">
        <v>468</v>
      </c>
      <c r="D40" s="201">
        <v>5</v>
      </c>
      <c r="E40" s="200">
        <v>7.2477966367769556E-2</v>
      </c>
    </row>
    <row r="41" spans="2:8" x14ac:dyDescent="0.25">
      <c r="B41" s="202" t="s">
        <v>2</v>
      </c>
      <c r="C41" s="201" t="s">
        <v>467</v>
      </c>
      <c r="D41" s="201">
        <v>6</v>
      </c>
      <c r="E41" s="200">
        <v>6.988271187715793E-2</v>
      </c>
    </row>
    <row r="42" spans="2:8" x14ac:dyDescent="0.25">
      <c r="B42" s="202" t="s">
        <v>2</v>
      </c>
      <c r="C42" s="201" t="s">
        <v>466</v>
      </c>
      <c r="D42" s="201">
        <v>7</v>
      </c>
      <c r="E42" s="200">
        <v>6.776109134004811E-2</v>
      </c>
    </row>
    <row r="43" spans="2:8" x14ac:dyDescent="0.25">
      <c r="B43" s="202" t="s">
        <v>2</v>
      </c>
      <c r="C43" s="201" t="s">
        <v>465</v>
      </c>
      <c r="D43" s="201">
        <v>8</v>
      </c>
      <c r="E43" s="200">
        <v>6.5975395538644718E-2</v>
      </c>
    </row>
    <row r="44" spans="2:8" x14ac:dyDescent="0.25">
      <c r="B44" s="202" t="s">
        <v>2</v>
      </c>
      <c r="C44" s="201" t="s">
        <v>464</v>
      </c>
      <c r="D44" s="201">
        <v>9</v>
      </c>
      <c r="E44" s="200">
        <v>6.4439401497725424E-2</v>
      </c>
    </row>
    <row r="45" spans="2:8" x14ac:dyDescent="0.25">
      <c r="B45" s="202" t="s">
        <v>2</v>
      </c>
      <c r="C45" s="201" t="s">
        <v>463</v>
      </c>
      <c r="D45" s="201">
        <v>10</v>
      </c>
      <c r="E45" s="200">
        <v>6.3095734448019331E-2</v>
      </c>
    </row>
    <row r="46" spans="2:8" ht="15.75" thickBot="1" x14ac:dyDescent="0.3"/>
    <row r="47" spans="2:8" ht="23.25" x14ac:dyDescent="0.35">
      <c r="B47" s="9" t="s">
        <v>462</v>
      </c>
      <c r="C47" s="9"/>
      <c r="D47" s="9"/>
      <c r="E47" s="9"/>
      <c r="F47" s="9"/>
      <c r="G47" s="9"/>
      <c r="H47" s="9"/>
    </row>
    <row r="49" spans="2:8" ht="130.5" x14ac:dyDescent="0.25">
      <c r="B49" s="199" t="s">
        <v>461</v>
      </c>
      <c r="C49" s="199" t="s">
        <v>17</v>
      </c>
      <c r="D49" s="199" t="s">
        <v>460</v>
      </c>
      <c r="E49" s="198" t="s">
        <v>459</v>
      </c>
      <c r="F49" s="198" t="s">
        <v>458</v>
      </c>
      <c r="G49" s="198" t="s">
        <v>457</v>
      </c>
      <c r="H49" s="198" t="s">
        <v>456</v>
      </c>
    </row>
    <row r="50" spans="2:8" x14ac:dyDescent="0.25">
      <c r="B50" s="197" t="s">
        <v>2</v>
      </c>
      <c r="C50" s="196" t="s">
        <v>455</v>
      </c>
      <c r="D50" s="196" t="s">
        <v>454</v>
      </c>
      <c r="E50" s="195" t="s">
        <v>453</v>
      </c>
      <c r="F50" s="195">
        <v>50</v>
      </c>
      <c r="G50" s="195">
        <v>30</v>
      </c>
      <c r="H50" s="195">
        <v>20</v>
      </c>
    </row>
  </sheetData>
  <mergeCells count="1">
    <mergeCell ref="F3:G3"/>
  </mergeCells>
  <dataValidations count="2">
    <dataValidation allowBlank="1" showErrorMessage="1" prompt="percentage [0..1]" sqref="H5:H29"/>
    <dataValidation allowBlank="1" sqref="E36:F45 E5:G29"/>
  </dataValidation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entities</vt:lpstr>
      <vt:lpstr>levels</vt:lpstr>
      <vt:lpstr>score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Hadrian Semroud</cp:lastModifiedBy>
  <dcterms:created xsi:type="dcterms:W3CDTF">2017-12-04T12:31:30Z</dcterms:created>
  <dcterms:modified xsi:type="dcterms:W3CDTF">2017-12-04T13:14:53Z</dcterms:modified>
</cp:coreProperties>
</file>